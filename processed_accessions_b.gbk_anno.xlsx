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logan/Git-Repos/ICTVseqsearch/"/>
    </mc:Choice>
  </mc:AlternateContent>
  <xr:revisionPtr revIDLastSave="0" documentId="13_ncr:1_{0B1A456C-FDFB-C347-837A-E47D1F07FCC0}" xr6:coauthVersionLast="47" xr6:coauthVersionMax="47" xr10:uidLastSave="{00000000-0000-0000-0000-000000000000}"/>
  <bookViews>
    <workbookView xWindow="0" yWindow="620" windowWidth="51200" windowHeight="266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</calcChain>
</file>

<file path=xl/sharedStrings.xml><?xml version="1.0" encoding="utf-8"?>
<sst xmlns="http://schemas.openxmlformats.org/spreadsheetml/2006/main" count="452" uniqueCount="162">
  <si>
    <t>isolate_id</t>
  </si>
  <si>
    <t>accession_id</t>
  </si>
  <si>
    <t>organism</t>
  </si>
  <si>
    <t>strain</t>
  </si>
  <si>
    <t>isolation_source</t>
  </si>
  <si>
    <t>ICTV_ID</t>
  </si>
  <si>
    <t>Exemplar_Additional</t>
  </si>
  <si>
    <t>Accession_Index</t>
  </si>
  <si>
    <t>Segment_Name</t>
  </si>
  <si>
    <t>Start_Loc</t>
  </si>
  <si>
    <t>End_Loc</t>
  </si>
  <si>
    <t>Sort</t>
  </si>
  <si>
    <t>Isolate_Sort</t>
  </si>
  <si>
    <t>Original_GENBANK_Accessions</t>
  </si>
  <si>
    <t>Errors</t>
  </si>
  <si>
    <t>Realm</t>
  </si>
  <si>
    <t>Subrealm</t>
  </si>
  <si>
    <t>Kingdom</t>
  </si>
  <si>
    <t>Subkingdom</t>
  </si>
  <si>
    <t>Phylum</t>
  </si>
  <si>
    <t>Subphylum</t>
  </si>
  <si>
    <t>Class</t>
  </si>
  <si>
    <t>Subclass</t>
  </si>
  <si>
    <t>Order</t>
  </si>
  <si>
    <t>Suborder</t>
  </si>
  <si>
    <t>Family</t>
  </si>
  <si>
    <t>Subfamily</t>
  </si>
  <si>
    <t>Genus</t>
  </si>
  <si>
    <t>Subgenus</t>
  </si>
  <si>
    <t>Species</t>
  </si>
  <si>
    <t>Virus_Names</t>
  </si>
  <si>
    <t>isolate_abbrev</t>
  </si>
  <si>
    <t>isolate_designation</t>
  </si>
  <si>
    <t>Staphylococcus phage G1</t>
  </si>
  <si>
    <t>ICTV20115492</t>
  </si>
  <si>
    <t>E</t>
  </si>
  <si>
    <t>AY954969</t>
  </si>
  <si>
    <t>Duplodnaviria</t>
  </si>
  <si>
    <t>Heunggongvirae</t>
  </si>
  <si>
    <t>Uroviricota</t>
  </si>
  <si>
    <t>Caudoviricetes</t>
  </si>
  <si>
    <t>Herelleviridae</t>
  </si>
  <si>
    <t>Twortvirinae</t>
  </si>
  <si>
    <t>Kayvirus</t>
  </si>
  <si>
    <t>Kayvirus G1</t>
  </si>
  <si>
    <t>Pantoea phage vB_PagS_AAS21</t>
  </si>
  <si>
    <t>Ribes Jostabeere</t>
  </si>
  <si>
    <t>ICTV202319186</t>
  </si>
  <si>
    <t>MK770119</t>
  </si>
  <si>
    <t>Demerecviridae</t>
  </si>
  <si>
    <t>Keyvirus</t>
  </si>
  <si>
    <t>Keyvirus AAS21</t>
  </si>
  <si>
    <t>Erwinia phage KEY</t>
  </si>
  <si>
    <t>fire blight affected quince and pear trees</t>
  </si>
  <si>
    <t>ICTV202319187</t>
  </si>
  <si>
    <t>MZ616364</t>
  </si>
  <si>
    <t>Keyvirus key</t>
  </si>
  <si>
    <t>Erwinia phage Key</t>
  </si>
  <si>
    <t>Acanthamoeba polyphaga mimivirus</t>
  </si>
  <si>
    <t>ICTV20042222</t>
  </si>
  <si>
    <t>HQ336222</t>
  </si>
  <si>
    <t>Varidnaviria</t>
  </si>
  <si>
    <t>Bamfordvirae</t>
  </si>
  <si>
    <t>Nucleocytoviricota</t>
  </si>
  <si>
    <t>Megaviricetes</t>
  </si>
  <si>
    <t>Imitervirales</t>
  </si>
  <si>
    <t>Mimiviridae</t>
  </si>
  <si>
    <t>Megamimivirinae</t>
  </si>
  <si>
    <t>Mimivirus</t>
  </si>
  <si>
    <t>Mimivirus bradfordmassiliense</t>
  </si>
  <si>
    <t>APMV</t>
  </si>
  <si>
    <t>Pacific flying fox associated multicomponent virus</t>
  </si>
  <si>
    <t>feces</t>
  </si>
  <si>
    <t>ICTV202318536</t>
  </si>
  <si>
    <t>KT732816; KT732815; KT732817</t>
  </si>
  <si>
    <t>Monodnaviria</t>
  </si>
  <si>
    <t>Shotokuvirae</t>
  </si>
  <si>
    <t>Cressdnaviricota</t>
  </si>
  <si>
    <t>Arfiviricetes</t>
  </si>
  <si>
    <t>Rohanvirales</t>
  </si>
  <si>
    <t>Adamaviridae</t>
  </si>
  <si>
    <t>Zirakzivirus</t>
  </si>
  <si>
    <t>Zirakzivirus serni</t>
  </si>
  <si>
    <t>Tbat_K_12099</t>
  </si>
  <si>
    <t>Serra Norte virus</t>
  </si>
  <si>
    <t>ICTV19990689</t>
  </si>
  <si>
    <t>A</t>
  </si>
  <si>
    <t>L</t>
  </si>
  <si>
    <t>L: HM119428; M: HM119429; S: HM119430</t>
  </si>
  <si>
    <t>Riboviria</t>
  </si>
  <si>
    <t>Orthornavirae</t>
  </si>
  <si>
    <t>Negarnaviricota</t>
  </si>
  <si>
    <t>Polyploviricotina</t>
  </si>
  <si>
    <t>Bunyaviricetes</t>
  </si>
  <si>
    <t>Hareavirales</t>
  </si>
  <si>
    <t>Phenuiviridae</t>
  </si>
  <si>
    <t>Phlebovirus</t>
  </si>
  <si>
    <t>Phlebovirus candiruense</t>
  </si>
  <si>
    <t>SNRV</t>
  </si>
  <si>
    <t>BeH505240</t>
  </si>
  <si>
    <t>M</t>
  </si>
  <si>
    <t>S</t>
  </si>
  <si>
    <t>Wargodvirus xiongnu</t>
  </si>
  <si>
    <t>hot spring</t>
  </si>
  <si>
    <t>ICTV202420188</t>
  </si>
  <si>
    <t>PP467602</t>
  </si>
  <si>
    <t>Adnaviria</t>
  </si>
  <si>
    <t>Zilligvirae</t>
  </si>
  <si>
    <t>Taleaviricota</t>
  </si>
  <si>
    <t>Tokiviricetes</t>
  </si>
  <si>
    <t>Ligamenvirales</t>
  </si>
  <si>
    <t>Chiyouviridae</t>
  </si>
  <si>
    <t>Wargodvirus</t>
  </si>
  <si>
    <t>Bathyarchaeia bifangarchaeales Chiyouvirus 1</t>
  </si>
  <si>
    <t>BbCV1</t>
  </si>
  <si>
    <t>Helicoverpa armigera nucleopolyhedrovirus</t>
  </si>
  <si>
    <t>ICTV20020613</t>
  </si>
  <si>
    <t>AF271059</t>
  </si>
  <si>
    <t>Naldaviricetes</t>
  </si>
  <si>
    <t>Lefavirales</t>
  </si>
  <si>
    <t>Baculoviridae</t>
  </si>
  <si>
    <t>Alphabaculovirus</t>
  </si>
  <si>
    <t>Alphabaculovirus helarmigerae</t>
  </si>
  <si>
    <t>HearNPV</t>
  </si>
  <si>
    <t>G4</t>
  </si>
  <si>
    <t>AF303045</t>
  </si>
  <si>
    <t>C1</t>
  </si>
  <si>
    <t>Helicoverpa armigera NPV NNg1</t>
  </si>
  <si>
    <t>NNg1</t>
  </si>
  <si>
    <t>AP010907</t>
  </si>
  <si>
    <t>Liao ning virus</t>
  </si>
  <si>
    <t>LNSV-NE97-31</t>
  </si>
  <si>
    <t>ICTV20042009</t>
  </si>
  <si>
    <t>Seg1</t>
  </si>
  <si>
    <t>Seg1: AY317099; Seg2: AY317100; Seg3: AY317101; Seg4: AY317102; Seg5: AY317103; Seg6: AY317104; Seg7: AY317105; Seg8: AY317106; Seg9: AY317107; Seg10: AY317108; Seg11: AY317109; Seg12: AY317110</t>
  </si>
  <si>
    <t>Duplornaviricota</t>
  </si>
  <si>
    <t>Resentoviricetes</t>
  </si>
  <si>
    <t>Reovirales</t>
  </si>
  <si>
    <t>Sedoreoviridae</t>
  </si>
  <si>
    <t>Seadornavirus</t>
  </si>
  <si>
    <t>Seadornavirus liaoningense</t>
  </si>
  <si>
    <t>LNV</t>
  </si>
  <si>
    <t>NE9731</t>
  </si>
  <si>
    <t>Seg2</t>
  </si>
  <si>
    <t>Seg3</t>
  </si>
  <si>
    <t>Seg4</t>
  </si>
  <si>
    <t>Seg5</t>
  </si>
  <si>
    <t>Seg6</t>
  </si>
  <si>
    <t>Seg7</t>
  </si>
  <si>
    <t>Seg8</t>
  </si>
  <si>
    <t>Seg9</t>
  </si>
  <si>
    <t>Seg10</t>
  </si>
  <si>
    <t>Seg11</t>
  </si>
  <si>
    <t>Seg12</t>
  </si>
  <si>
    <t>Salmonella enterica subsp. enterica serovar Typhimurium str. LT2, Salmonella virus Fels2</t>
  </si>
  <si>
    <t>LT2</t>
  </si>
  <si>
    <t>ICTV20115504</t>
  </si>
  <si>
    <t>AE006468 (2844298.2877981)</t>
  </si>
  <si>
    <t>Peduoviridae</t>
  </si>
  <si>
    <t>Felsduovirus</t>
  </si>
  <si>
    <t>Felsduovirus Fels2</t>
  </si>
  <si>
    <t>Salmonella phage Fels2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</si>
</sst>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8"/>
  <sheetViews>
    <sheetView tabSelected="1" workbookViewId="0">
      <selection sqref="A1:XFD1048576"/>
    </sheetView>
  </sheetViews>
  <sheetFormatPr baseColWidth="10" defaultColWidth="8.83203125" defaultRowHeight="15" x14ac:dyDescent="0.2"/>
  <cols>
    <col min="1" max="1" width="11.6640625" bestFit="1" customWidth="1"/>
    <col min="2" max="2" width="10.6640625" bestFit="1" customWidth="1"/>
    <col min="3" max="3" width="69.1640625" bestFit="1" customWidth="1"/>
    <col min="4" max="4" width="12" bestFit="1" customWidth="1"/>
    <col min="5" max="5" width="31.83203125" bestFit="1" customWidth="1"/>
    <col min="6" max="6" width="13.5" bestFit="1" customWidth="1"/>
    <col min="7" max="7" width="17.1640625" bestFit="1" customWidth="1"/>
    <col min="8" max="8" width="13.5" bestFit="1" customWidth="1"/>
    <col min="9" max="9" width="12.83203125" bestFit="1" customWidth="1"/>
    <col min="10" max="10" width="8.33203125" bestFit="1" customWidth="1"/>
    <col min="11" max="11" width="8.1640625" bestFit="1" customWidth="1"/>
    <col min="12" max="12" width="6.1640625" bestFit="1" customWidth="1"/>
    <col min="13" max="13" width="10.1640625" bestFit="1" customWidth="1"/>
    <col min="14" max="14" width="164.1640625" bestFit="1" customWidth="1"/>
    <col min="15" max="15" width="5.6640625" bestFit="1" customWidth="1"/>
    <col min="16" max="16" width="12" bestFit="1" customWidth="1"/>
    <col min="17" max="17" width="8.33203125" bestFit="1" customWidth="1"/>
    <col min="18" max="18" width="13.33203125" bestFit="1" customWidth="1"/>
    <col min="19" max="19" width="10.6640625" bestFit="1" customWidth="1"/>
    <col min="20" max="20" width="15.6640625" bestFit="1" customWidth="1"/>
    <col min="21" max="21" width="14.33203125" bestFit="1" customWidth="1"/>
    <col min="22" max="22" width="13.5" bestFit="1" customWidth="1"/>
    <col min="23" max="23" width="7.5" bestFit="1" customWidth="1"/>
    <col min="24" max="24" width="12.33203125" bestFit="1" customWidth="1"/>
    <col min="25" max="25" width="8.1640625" bestFit="1" customWidth="1"/>
    <col min="26" max="26" width="13" bestFit="1" customWidth="1"/>
    <col min="27" max="28" width="14.33203125" bestFit="1" customWidth="1"/>
    <col min="29" max="29" width="8.33203125" bestFit="1" customWidth="1"/>
    <col min="30" max="30" width="24.83203125" bestFit="1" customWidth="1"/>
    <col min="31" max="31" width="39.6640625" bestFit="1" customWidth="1"/>
    <col min="32" max="32" width="12.1640625" bestFit="1" customWidth="1"/>
    <col min="33" max="33" width="15.83203125" bestFit="1" customWidth="1"/>
  </cols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2">
      <c r="A2" t="str">
        <f>HYPERLINK("https://ictv.global/id/VMR1001950","VMR1001950")</f>
        <v>VMR1001950</v>
      </c>
      <c r="B2" t="str">
        <f>HYPERLINK("https://www.ncbi.nlm.nih.gov/nuccore/AY954969","AY954969")</f>
        <v>AY954969</v>
      </c>
      <c r="C2" t="s">
        <v>33</v>
      </c>
      <c r="F2" t="s">
        <v>34</v>
      </c>
      <c r="G2" t="s">
        <v>35</v>
      </c>
      <c r="H2">
        <v>1</v>
      </c>
      <c r="L2">
        <v>2673</v>
      </c>
      <c r="M2">
        <v>1</v>
      </c>
      <c r="N2" t="s">
        <v>36</v>
      </c>
      <c r="P2" t="s">
        <v>37</v>
      </c>
      <c r="R2" t="s">
        <v>38</v>
      </c>
      <c r="T2" t="s">
        <v>39</v>
      </c>
      <c r="V2" t="s">
        <v>40</v>
      </c>
      <c r="Z2" t="s">
        <v>41</v>
      </c>
      <c r="AA2" t="s">
        <v>42</v>
      </c>
      <c r="AB2" t="s">
        <v>43</v>
      </c>
      <c r="AD2" t="s">
        <v>44</v>
      </c>
      <c r="AE2" t="s">
        <v>33</v>
      </c>
    </row>
    <row r="3" spans="1:33" x14ac:dyDescent="0.2">
      <c r="A3" t="str">
        <f>HYPERLINK("https://ictv.global/id/VMR1024988","VMR1024988")</f>
        <v>VMR1024988</v>
      </c>
      <c r="B3" t="str">
        <f>HYPERLINK("https://www.ncbi.nlm.nih.gov/nuccore/MK770119","MK770119")</f>
        <v>MK770119</v>
      </c>
      <c r="C3" t="s">
        <v>45</v>
      </c>
      <c r="E3" t="s">
        <v>46</v>
      </c>
      <c r="F3" t="s">
        <v>47</v>
      </c>
      <c r="G3" t="s">
        <v>35</v>
      </c>
      <c r="H3">
        <v>1</v>
      </c>
      <c r="L3">
        <v>2253</v>
      </c>
      <c r="M3">
        <v>1</v>
      </c>
      <c r="N3" t="s">
        <v>48</v>
      </c>
      <c r="P3" t="s">
        <v>37</v>
      </c>
      <c r="R3" t="s">
        <v>38</v>
      </c>
      <c r="T3" t="s">
        <v>39</v>
      </c>
      <c r="V3" t="s">
        <v>40</v>
      </c>
      <c r="Z3" t="s">
        <v>49</v>
      </c>
      <c r="AB3" t="s">
        <v>50</v>
      </c>
      <c r="AD3" t="s">
        <v>51</v>
      </c>
      <c r="AE3" t="s">
        <v>45</v>
      </c>
    </row>
    <row r="4" spans="1:33" x14ac:dyDescent="0.2">
      <c r="A4" t="str">
        <f>HYPERLINK("https://ictv.global/id/VMR1024989","VMR1024989")</f>
        <v>VMR1024989</v>
      </c>
      <c r="B4" t="str">
        <f>HYPERLINK("https://www.ncbi.nlm.nih.gov/nuccore/MZ616364","MZ616364")</f>
        <v>MZ616364</v>
      </c>
      <c r="C4" t="s">
        <v>52</v>
      </c>
      <c r="E4" t="s">
        <v>53</v>
      </c>
      <c r="F4" t="s">
        <v>54</v>
      </c>
      <c r="G4" t="s">
        <v>35</v>
      </c>
      <c r="H4">
        <v>1</v>
      </c>
      <c r="L4">
        <v>2254</v>
      </c>
      <c r="M4">
        <v>1</v>
      </c>
      <c r="N4" t="s">
        <v>55</v>
      </c>
      <c r="P4" t="s">
        <v>37</v>
      </c>
      <c r="R4" t="s">
        <v>38</v>
      </c>
      <c r="T4" t="s">
        <v>39</v>
      </c>
      <c r="V4" t="s">
        <v>40</v>
      </c>
      <c r="Z4" t="s">
        <v>49</v>
      </c>
      <c r="AB4" t="s">
        <v>50</v>
      </c>
      <c r="AD4" t="s">
        <v>56</v>
      </c>
      <c r="AE4" t="s">
        <v>57</v>
      </c>
    </row>
    <row r="5" spans="1:33" x14ac:dyDescent="0.2">
      <c r="A5" t="str">
        <f>HYPERLINK("https://ictv.global/id/VMR1004210","VMR1004210")</f>
        <v>VMR1004210</v>
      </c>
      <c r="B5" t="str">
        <f>HYPERLINK("https://www.ncbi.nlm.nih.gov/nuccore/HQ336222","HQ336222")</f>
        <v>HQ336222</v>
      </c>
      <c r="C5" t="s">
        <v>58</v>
      </c>
      <c r="F5" t="s">
        <v>59</v>
      </c>
      <c r="G5" t="s">
        <v>35</v>
      </c>
      <c r="H5">
        <v>1</v>
      </c>
      <c r="L5">
        <v>15476</v>
      </c>
      <c r="M5">
        <v>1</v>
      </c>
      <c r="N5" t="s">
        <v>60</v>
      </c>
      <c r="P5" t="s">
        <v>61</v>
      </c>
      <c r="R5" t="s">
        <v>62</v>
      </c>
      <c r="T5" t="s">
        <v>63</v>
      </c>
      <c r="V5" t="s">
        <v>64</v>
      </c>
      <c r="X5" t="s">
        <v>65</v>
      </c>
      <c r="Z5" t="s">
        <v>66</v>
      </c>
      <c r="AA5" t="s">
        <v>67</v>
      </c>
      <c r="AB5" t="s">
        <v>68</v>
      </c>
      <c r="AD5" t="s">
        <v>69</v>
      </c>
      <c r="AE5" t="s">
        <v>58</v>
      </c>
      <c r="AF5" t="s">
        <v>70</v>
      </c>
    </row>
    <row r="6" spans="1:33" x14ac:dyDescent="0.2">
      <c r="A6" t="str">
        <f>HYPERLINK("https://ictv.global/id/VMR1027988","VMR1027988")</f>
        <v>VMR1027988</v>
      </c>
      <c r="B6" t="str">
        <f>HYPERLINK("https://www.ncbi.nlm.nih.gov/nuccore/KT732816","KT732816")</f>
        <v>KT732816</v>
      </c>
      <c r="C6" t="s">
        <v>71</v>
      </c>
      <c r="E6" t="s">
        <v>72</v>
      </c>
      <c r="F6" t="s">
        <v>73</v>
      </c>
      <c r="G6" t="s">
        <v>35</v>
      </c>
      <c r="H6">
        <v>1</v>
      </c>
      <c r="L6">
        <v>7395</v>
      </c>
      <c r="M6">
        <v>1</v>
      </c>
      <c r="N6" t="s">
        <v>74</v>
      </c>
      <c r="P6" t="s">
        <v>75</v>
      </c>
      <c r="R6" t="s">
        <v>76</v>
      </c>
      <c r="T6" t="s">
        <v>77</v>
      </c>
      <c r="V6" t="s">
        <v>78</v>
      </c>
      <c r="X6" t="s">
        <v>79</v>
      </c>
      <c r="Z6" t="s">
        <v>80</v>
      </c>
      <c r="AB6" t="s">
        <v>81</v>
      </c>
      <c r="AD6" t="s">
        <v>82</v>
      </c>
      <c r="AE6" t="s">
        <v>71</v>
      </c>
      <c r="AG6" t="s">
        <v>83</v>
      </c>
    </row>
    <row r="7" spans="1:33" x14ac:dyDescent="0.2">
      <c r="A7" t="str">
        <f>HYPERLINK("https://ictv.global/id/VMR1027988","VMR1027988")</f>
        <v>VMR1027988</v>
      </c>
      <c r="B7" t="str">
        <f>HYPERLINK("https://www.ncbi.nlm.nih.gov/nuccore/KT732815","KT732815")</f>
        <v>KT732815</v>
      </c>
      <c r="C7" t="s">
        <v>71</v>
      </c>
      <c r="E7" t="s">
        <v>72</v>
      </c>
      <c r="F7" t="s">
        <v>73</v>
      </c>
      <c r="G7" t="s">
        <v>35</v>
      </c>
      <c r="H7">
        <v>2</v>
      </c>
      <c r="L7">
        <v>7395</v>
      </c>
      <c r="M7">
        <v>1</v>
      </c>
      <c r="N7" t="s">
        <v>74</v>
      </c>
      <c r="P7" t="s">
        <v>75</v>
      </c>
      <c r="R7" t="s">
        <v>76</v>
      </c>
      <c r="T7" t="s">
        <v>77</v>
      </c>
      <c r="V7" t="s">
        <v>78</v>
      </c>
      <c r="X7" t="s">
        <v>79</v>
      </c>
      <c r="Z7" t="s">
        <v>80</v>
      </c>
      <c r="AB7" t="s">
        <v>81</v>
      </c>
      <c r="AD7" t="s">
        <v>82</v>
      </c>
      <c r="AE7" t="s">
        <v>71</v>
      </c>
      <c r="AG7" t="s">
        <v>83</v>
      </c>
    </row>
    <row r="8" spans="1:33" x14ac:dyDescent="0.2">
      <c r="A8" t="str">
        <f>HYPERLINK("https://ictv.global/id/VMR1027988","VMR1027988")</f>
        <v>VMR1027988</v>
      </c>
      <c r="B8" t="str">
        <f>HYPERLINK("https://www.ncbi.nlm.nih.gov/nuccore/KT732817","KT732817")</f>
        <v>KT732817</v>
      </c>
      <c r="C8" t="s">
        <v>71</v>
      </c>
      <c r="E8" t="s">
        <v>72</v>
      </c>
      <c r="F8" t="s">
        <v>73</v>
      </c>
      <c r="G8" t="s">
        <v>35</v>
      </c>
      <c r="H8">
        <v>3</v>
      </c>
      <c r="L8">
        <v>7395</v>
      </c>
      <c r="M8">
        <v>1</v>
      </c>
      <c r="N8" t="s">
        <v>74</v>
      </c>
      <c r="P8" t="s">
        <v>75</v>
      </c>
      <c r="R8" t="s">
        <v>76</v>
      </c>
      <c r="T8" t="s">
        <v>77</v>
      </c>
      <c r="V8" t="s">
        <v>78</v>
      </c>
      <c r="X8" t="s">
        <v>79</v>
      </c>
      <c r="Z8" t="s">
        <v>80</v>
      </c>
      <c r="AB8" t="s">
        <v>81</v>
      </c>
      <c r="AD8" t="s">
        <v>82</v>
      </c>
      <c r="AE8" t="s">
        <v>71</v>
      </c>
      <c r="AG8" t="s">
        <v>83</v>
      </c>
    </row>
    <row r="9" spans="1:33" x14ac:dyDescent="0.2">
      <c r="A9" t="str">
        <f>HYPERLINK("https://ictv.global/id/VMR1011336","VMR1011336")</f>
        <v>VMR1011336</v>
      </c>
      <c r="B9" t="str">
        <f>HYPERLINK("https://www.ncbi.nlm.nih.gov/nuccore/HM119428","HM119428")</f>
        <v>HM119428</v>
      </c>
      <c r="C9" t="s">
        <v>84</v>
      </c>
      <c r="F9" t="s">
        <v>85</v>
      </c>
      <c r="G9" t="s">
        <v>86</v>
      </c>
      <c r="H9">
        <v>1</v>
      </c>
      <c r="I9" t="s">
        <v>87</v>
      </c>
      <c r="L9">
        <v>13851</v>
      </c>
      <c r="M9">
        <v>6</v>
      </c>
      <c r="N9" t="s">
        <v>88</v>
      </c>
      <c r="P9" t="s">
        <v>89</v>
      </c>
      <c r="R9" t="s">
        <v>90</v>
      </c>
      <c r="T9" t="s">
        <v>91</v>
      </c>
      <c r="U9" t="s">
        <v>92</v>
      </c>
      <c r="V9" t="s">
        <v>93</v>
      </c>
      <c r="X9" t="s">
        <v>94</v>
      </c>
      <c r="Z9" t="s">
        <v>95</v>
      </c>
      <c r="AB9" t="s">
        <v>96</v>
      </c>
      <c r="AD9" t="s">
        <v>97</v>
      </c>
      <c r="AE9" t="s">
        <v>84</v>
      </c>
      <c r="AF9" t="s">
        <v>98</v>
      </c>
      <c r="AG9" t="s">
        <v>99</v>
      </c>
    </row>
    <row r="10" spans="1:33" x14ac:dyDescent="0.2">
      <c r="A10" t="str">
        <f>HYPERLINK("https://ictv.global/id/VMR1011336","VMR1011336")</f>
        <v>VMR1011336</v>
      </c>
      <c r="B10" t="str">
        <f>HYPERLINK("https://www.ncbi.nlm.nih.gov/nuccore/HM119429","HM119429")</f>
        <v>HM119429</v>
      </c>
      <c r="C10" t="s">
        <v>84</v>
      </c>
      <c r="F10" t="s">
        <v>85</v>
      </c>
      <c r="G10" t="s">
        <v>86</v>
      </c>
      <c r="H10">
        <v>2</v>
      </c>
      <c r="I10" t="s">
        <v>100</v>
      </c>
      <c r="L10">
        <v>13851</v>
      </c>
      <c r="M10">
        <v>6</v>
      </c>
      <c r="N10" t="s">
        <v>88</v>
      </c>
      <c r="P10" t="s">
        <v>89</v>
      </c>
      <c r="R10" t="s">
        <v>90</v>
      </c>
      <c r="T10" t="s">
        <v>91</v>
      </c>
      <c r="U10" t="s">
        <v>92</v>
      </c>
      <c r="V10" t="s">
        <v>93</v>
      </c>
      <c r="X10" t="s">
        <v>94</v>
      </c>
      <c r="Z10" t="s">
        <v>95</v>
      </c>
      <c r="AB10" t="s">
        <v>96</v>
      </c>
      <c r="AD10" t="s">
        <v>97</v>
      </c>
      <c r="AE10" t="s">
        <v>84</v>
      </c>
      <c r="AF10" t="s">
        <v>98</v>
      </c>
      <c r="AG10" t="s">
        <v>99</v>
      </c>
    </row>
    <row r="11" spans="1:33" x14ac:dyDescent="0.2">
      <c r="A11" t="str">
        <f>HYPERLINK("https://ictv.global/id/VMR1011336","VMR1011336")</f>
        <v>VMR1011336</v>
      </c>
      <c r="B11" t="str">
        <f>HYPERLINK("https://www.ncbi.nlm.nih.gov/nuccore/HM119430","HM119430")</f>
        <v>HM119430</v>
      </c>
      <c r="C11" t="s">
        <v>84</v>
      </c>
      <c r="F11" t="s">
        <v>85</v>
      </c>
      <c r="G11" t="s">
        <v>86</v>
      </c>
      <c r="H11">
        <v>3</v>
      </c>
      <c r="I11" t="s">
        <v>101</v>
      </c>
      <c r="L11">
        <v>13851</v>
      </c>
      <c r="M11">
        <v>6</v>
      </c>
      <c r="N11" t="s">
        <v>88</v>
      </c>
      <c r="P11" t="s">
        <v>89</v>
      </c>
      <c r="R11" t="s">
        <v>90</v>
      </c>
      <c r="T11" t="s">
        <v>91</v>
      </c>
      <c r="U11" t="s">
        <v>92</v>
      </c>
      <c r="V11" t="s">
        <v>93</v>
      </c>
      <c r="X11" t="s">
        <v>94</v>
      </c>
      <c r="Z11" t="s">
        <v>95</v>
      </c>
      <c r="AB11" t="s">
        <v>96</v>
      </c>
      <c r="AD11" t="s">
        <v>97</v>
      </c>
      <c r="AE11" t="s">
        <v>84</v>
      </c>
      <c r="AF11" t="s">
        <v>98</v>
      </c>
      <c r="AG11" t="s">
        <v>99</v>
      </c>
    </row>
    <row r="12" spans="1:33" x14ac:dyDescent="0.2">
      <c r="A12" t="str">
        <f>HYPERLINK("https://ictv.global/id/VMR1028127","VMR1028127")</f>
        <v>VMR1028127</v>
      </c>
      <c r="B12" t="str">
        <f>HYPERLINK("https://www.ncbi.nlm.nih.gov/nuccore/PP467602","PP467602")</f>
        <v>PP467602</v>
      </c>
      <c r="C12" t="s">
        <v>102</v>
      </c>
      <c r="E12" t="s">
        <v>103</v>
      </c>
      <c r="F12" t="s">
        <v>104</v>
      </c>
      <c r="G12" t="s">
        <v>35</v>
      </c>
      <c r="H12">
        <v>1</v>
      </c>
      <c r="L12">
        <v>1</v>
      </c>
      <c r="M12">
        <v>1</v>
      </c>
      <c r="N12" t="s">
        <v>105</v>
      </c>
      <c r="P12" t="s">
        <v>106</v>
      </c>
      <c r="R12" t="s">
        <v>107</v>
      </c>
      <c r="T12" t="s">
        <v>108</v>
      </c>
      <c r="V12" t="s">
        <v>109</v>
      </c>
      <c r="X12" t="s">
        <v>110</v>
      </c>
      <c r="Z12" t="s">
        <v>111</v>
      </c>
      <c r="AB12" t="s">
        <v>112</v>
      </c>
      <c r="AD12" t="s">
        <v>102</v>
      </c>
      <c r="AE12" t="s">
        <v>113</v>
      </c>
      <c r="AF12" t="s">
        <v>114</v>
      </c>
    </row>
    <row r="13" spans="1:33" x14ac:dyDescent="0.2">
      <c r="A13" t="str">
        <f>HYPERLINK("https://ictv.global/id/VMR1004862","VMR1004862")</f>
        <v>VMR1004862</v>
      </c>
      <c r="B13" t="str">
        <f>HYPERLINK("https://www.ncbi.nlm.nih.gov/nuccore/AF271059","AF271059")</f>
        <v>AF271059</v>
      </c>
      <c r="C13" t="s">
        <v>115</v>
      </c>
      <c r="F13" t="s">
        <v>116</v>
      </c>
      <c r="G13" t="s">
        <v>35</v>
      </c>
      <c r="H13">
        <v>1</v>
      </c>
      <c r="L13">
        <v>15762</v>
      </c>
      <c r="M13">
        <v>1</v>
      </c>
      <c r="N13" t="s">
        <v>117</v>
      </c>
      <c r="V13" t="s">
        <v>118</v>
      </c>
      <c r="X13" t="s">
        <v>119</v>
      </c>
      <c r="Z13" t="s">
        <v>120</v>
      </c>
      <c r="AB13" t="s">
        <v>121</v>
      </c>
      <c r="AD13" t="s">
        <v>122</v>
      </c>
      <c r="AE13" t="s">
        <v>115</v>
      </c>
      <c r="AF13" t="s">
        <v>123</v>
      </c>
      <c r="AG13" t="s">
        <v>124</v>
      </c>
    </row>
    <row r="14" spans="1:33" x14ac:dyDescent="0.2">
      <c r="A14" t="str">
        <f>HYPERLINK("https://ictv.global/id/VMR1012174","VMR1012174")</f>
        <v>VMR1012174</v>
      </c>
      <c r="B14" t="str">
        <f>HYPERLINK("https://www.ncbi.nlm.nih.gov/nuccore/AF303045","AF303045")</f>
        <v>AF303045</v>
      </c>
      <c r="C14" t="s">
        <v>115</v>
      </c>
      <c r="F14" t="s">
        <v>116</v>
      </c>
      <c r="G14" t="s">
        <v>86</v>
      </c>
      <c r="H14">
        <v>1</v>
      </c>
      <c r="L14">
        <v>15762</v>
      </c>
      <c r="M14">
        <v>2</v>
      </c>
      <c r="N14" t="s">
        <v>125</v>
      </c>
      <c r="V14" t="s">
        <v>118</v>
      </c>
      <c r="X14" t="s">
        <v>119</v>
      </c>
      <c r="Z14" t="s">
        <v>120</v>
      </c>
      <c r="AB14" t="s">
        <v>121</v>
      </c>
      <c r="AD14" t="s">
        <v>122</v>
      </c>
      <c r="AE14" t="s">
        <v>115</v>
      </c>
      <c r="AF14" t="s">
        <v>123</v>
      </c>
      <c r="AG14" t="s">
        <v>126</v>
      </c>
    </row>
    <row r="15" spans="1:33" x14ac:dyDescent="0.2">
      <c r="A15" t="str">
        <f>HYPERLINK("https://ictv.global/id/VMR1012175","VMR1012175")</f>
        <v>VMR1012175</v>
      </c>
      <c r="B15" t="str">
        <f>HYPERLINK("https://www.ncbi.nlm.nih.gov/nuccore/AP010907","AP010907")</f>
        <v>AP010907</v>
      </c>
      <c r="C15" t="s">
        <v>127</v>
      </c>
      <c r="D15" t="s">
        <v>128</v>
      </c>
      <c r="F15" t="s">
        <v>116</v>
      </c>
      <c r="G15" t="s">
        <v>86</v>
      </c>
      <c r="H15">
        <v>1</v>
      </c>
      <c r="L15">
        <v>15762</v>
      </c>
      <c r="M15">
        <v>3</v>
      </c>
      <c r="N15" t="s">
        <v>129</v>
      </c>
      <c r="V15" t="s">
        <v>118</v>
      </c>
      <c r="X15" t="s">
        <v>119</v>
      </c>
      <c r="Z15" t="s">
        <v>120</v>
      </c>
      <c r="AB15" t="s">
        <v>121</v>
      </c>
      <c r="AD15" t="s">
        <v>122</v>
      </c>
      <c r="AE15" t="s">
        <v>115</v>
      </c>
      <c r="AF15" t="s">
        <v>123</v>
      </c>
      <c r="AG15" t="s">
        <v>128</v>
      </c>
    </row>
    <row r="16" spans="1:33" x14ac:dyDescent="0.2">
      <c r="A16" t="str">
        <f t="shared" ref="A16:A27" si="0">HYPERLINK("https://ictv.global/id/VMR1012711","VMR1012711")</f>
        <v>VMR1012711</v>
      </c>
      <c r="B16" t="str">
        <f>HYPERLINK("https://www.ncbi.nlm.nih.gov/nuccore/AY317099","AY317099")</f>
        <v>AY317099</v>
      </c>
      <c r="C16" t="s">
        <v>130</v>
      </c>
      <c r="D16" t="s">
        <v>131</v>
      </c>
      <c r="F16" t="s">
        <v>132</v>
      </c>
      <c r="G16" t="s">
        <v>86</v>
      </c>
      <c r="H16">
        <v>1</v>
      </c>
      <c r="I16" t="s">
        <v>133</v>
      </c>
      <c r="L16">
        <v>8654</v>
      </c>
      <c r="M16">
        <v>2</v>
      </c>
      <c r="N16" t="s">
        <v>134</v>
      </c>
      <c r="P16" t="s">
        <v>89</v>
      </c>
      <c r="R16" t="s">
        <v>90</v>
      </c>
      <c r="T16" t="s">
        <v>135</v>
      </c>
      <c r="V16" t="s">
        <v>136</v>
      </c>
      <c r="X16" t="s">
        <v>137</v>
      </c>
      <c r="Z16" t="s">
        <v>138</v>
      </c>
      <c r="AB16" t="s">
        <v>139</v>
      </c>
      <c r="AD16" t="s">
        <v>140</v>
      </c>
      <c r="AE16" t="s">
        <v>130</v>
      </c>
      <c r="AF16" t="s">
        <v>141</v>
      </c>
      <c r="AG16" t="s">
        <v>142</v>
      </c>
    </row>
    <row r="17" spans="1:33" x14ac:dyDescent="0.2">
      <c r="A17" t="str">
        <f t="shared" si="0"/>
        <v>VMR1012711</v>
      </c>
      <c r="B17" t="str">
        <f>HYPERLINK("https://www.ncbi.nlm.nih.gov/nuccore/AY317100","AY317100")</f>
        <v>AY317100</v>
      </c>
      <c r="C17" t="s">
        <v>130</v>
      </c>
      <c r="D17" t="s">
        <v>131</v>
      </c>
      <c r="F17" t="s">
        <v>132</v>
      </c>
      <c r="G17" t="s">
        <v>86</v>
      </c>
      <c r="H17">
        <v>2</v>
      </c>
      <c r="I17" t="s">
        <v>143</v>
      </c>
      <c r="L17">
        <v>8654</v>
      </c>
      <c r="M17">
        <v>2</v>
      </c>
      <c r="N17" t="s">
        <v>134</v>
      </c>
      <c r="P17" t="s">
        <v>89</v>
      </c>
      <c r="R17" t="s">
        <v>90</v>
      </c>
      <c r="T17" t="s">
        <v>135</v>
      </c>
      <c r="V17" t="s">
        <v>136</v>
      </c>
      <c r="X17" t="s">
        <v>137</v>
      </c>
      <c r="Z17" t="s">
        <v>138</v>
      </c>
      <c r="AB17" t="s">
        <v>139</v>
      </c>
      <c r="AD17" t="s">
        <v>140</v>
      </c>
      <c r="AE17" t="s">
        <v>130</v>
      </c>
      <c r="AF17" t="s">
        <v>141</v>
      </c>
      <c r="AG17" t="s">
        <v>142</v>
      </c>
    </row>
    <row r="18" spans="1:33" x14ac:dyDescent="0.2">
      <c r="A18" t="str">
        <f t="shared" si="0"/>
        <v>VMR1012711</v>
      </c>
      <c r="B18" t="str">
        <f>HYPERLINK("https://www.ncbi.nlm.nih.gov/nuccore/AY317101","AY317101")</f>
        <v>AY317101</v>
      </c>
      <c r="C18" t="s">
        <v>130</v>
      </c>
      <c r="D18" t="s">
        <v>131</v>
      </c>
      <c r="F18" t="s">
        <v>132</v>
      </c>
      <c r="G18" t="s">
        <v>86</v>
      </c>
      <c r="H18">
        <v>3</v>
      </c>
      <c r="I18" t="s">
        <v>144</v>
      </c>
      <c r="L18">
        <v>8654</v>
      </c>
      <c r="M18">
        <v>2</v>
      </c>
      <c r="N18" t="s">
        <v>134</v>
      </c>
      <c r="P18" t="s">
        <v>89</v>
      </c>
      <c r="R18" t="s">
        <v>90</v>
      </c>
      <c r="T18" t="s">
        <v>135</v>
      </c>
      <c r="V18" t="s">
        <v>136</v>
      </c>
      <c r="X18" t="s">
        <v>137</v>
      </c>
      <c r="Z18" t="s">
        <v>138</v>
      </c>
      <c r="AB18" t="s">
        <v>139</v>
      </c>
      <c r="AD18" t="s">
        <v>140</v>
      </c>
      <c r="AE18" t="s">
        <v>130</v>
      </c>
      <c r="AF18" t="s">
        <v>141</v>
      </c>
      <c r="AG18" t="s">
        <v>142</v>
      </c>
    </row>
    <row r="19" spans="1:33" x14ac:dyDescent="0.2">
      <c r="A19" t="str">
        <f t="shared" si="0"/>
        <v>VMR1012711</v>
      </c>
      <c r="B19" t="str">
        <f>HYPERLINK("https://www.ncbi.nlm.nih.gov/nuccore/AY317102","AY317102")</f>
        <v>AY317102</v>
      </c>
      <c r="C19" t="s">
        <v>130</v>
      </c>
      <c r="D19" t="s">
        <v>131</v>
      </c>
      <c r="F19" t="s">
        <v>132</v>
      </c>
      <c r="G19" t="s">
        <v>86</v>
      </c>
      <c r="H19">
        <v>4</v>
      </c>
      <c r="I19" t="s">
        <v>145</v>
      </c>
      <c r="L19">
        <v>8654</v>
      </c>
      <c r="M19">
        <v>2</v>
      </c>
      <c r="N19" t="s">
        <v>134</v>
      </c>
      <c r="P19" t="s">
        <v>89</v>
      </c>
      <c r="R19" t="s">
        <v>90</v>
      </c>
      <c r="T19" t="s">
        <v>135</v>
      </c>
      <c r="V19" t="s">
        <v>136</v>
      </c>
      <c r="X19" t="s">
        <v>137</v>
      </c>
      <c r="Z19" t="s">
        <v>138</v>
      </c>
      <c r="AB19" t="s">
        <v>139</v>
      </c>
      <c r="AD19" t="s">
        <v>140</v>
      </c>
      <c r="AE19" t="s">
        <v>130</v>
      </c>
      <c r="AF19" t="s">
        <v>141</v>
      </c>
      <c r="AG19" t="s">
        <v>142</v>
      </c>
    </row>
    <row r="20" spans="1:33" x14ac:dyDescent="0.2">
      <c r="A20" t="str">
        <f t="shared" si="0"/>
        <v>VMR1012711</v>
      </c>
      <c r="B20" t="str">
        <f>HYPERLINK("https://www.ncbi.nlm.nih.gov/nuccore/AY317103","AY317103")</f>
        <v>AY317103</v>
      </c>
      <c r="C20" t="s">
        <v>130</v>
      </c>
      <c r="D20" t="s">
        <v>131</v>
      </c>
      <c r="F20" t="s">
        <v>132</v>
      </c>
      <c r="G20" t="s">
        <v>86</v>
      </c>
      <c r="H20">
        <v>5</v>
      </c>
      <c r="I20" t="s">
        <v>146</v>
      </c>
      <c r="L20">
        <v>8654</v>
      </c>
      <c r="M20">
        <v>2</v>
      </c>
      <c r="N20" t="s">
        <v>134</v>
      </c>
      <c r="P20" t="s">
        <v>89</v>
      </c>
      <c r="R20" t="s">
        <v>90</v>
      </c>
      <c r="T20" t="s">
        <v>135</v>
      </c>
      <c r="V20" t="s">
        <v>136</v>
      </c>
      <c r="X20" t="s">
        <v>137</v>
      </c>
      <c r="Z20" t="s">
        <v>138</v>
      </c>
      <c r="AB20" t="s">
        <v>139</v>
      </c>
      <c r="AD20" t="s">
        <v>140</v>
      </c>
      <c r="AE20" t="s">
        <v>130</v>
      </c>
      <c r="AF20" t="s">
        <v>141</v>
      </c>
      <c r="AG20" t="s">
        <v>142</v>
      </c>
    </row>
    <row r="21" spans="1:33" x14ac:dyDescent="0.2">
      <c r="A21" t="str">
        <f t="shared" si="0"/>
        <v>VMR1012711</v>
      </c>
      <c r="B21" t="str">
        <f>HYPERLINK("https://www.ncbi.nlm.nih.gov/nuccore/AY317104","AY317104")</f>
        <v>AY317104</v>
      </c>
      <c r="C21" t="s">
        <v>130</v>
      </c>
      <c r="D21" t="s">
        <v>131</v>
      </c>
      <c r="F21" t="s">
        <v>132</v>
      </c>
      <c r="G21" t="s">
        <v>86</v>
      </c>
      <c r="H21">
        <v>6</v>
      </c>
      <c r="I21" t="s">
        <v>147</v>
      </c>
      <c r="L21">
        <v>8654</v>
      </c>
      <c r="M21">
        <v>2</v>
      </c>
      <c r="N21" t="s">
        <v>134</v>
      </c>
      <c r="P21" t="s">
        <v>89</v>
      </c>
      <c r="R21" t="s">
        <v>90</v>
      </c>
      <c r="T21" t="s">
        <v>135</v>
      </c>
      <c r="V21" t="s">
        <v>136</v>
      </c>
      <c r="X21" t="s">
        <v>137</v>
      </c>
      <c r="Z21" t="s">
        <v>138</v>
      </c>
      <c r="AB21" t="s">
        <v>139</v>
      </c>
      <c r="AD21" t="s">
        <v>140</v>
      </c>
      <c r="AE21" t="s">
        <v>130</v>
      </c>
      <c r="AF21" t="s">
        <v>141</v>
      </c>
      <c r="AG21" t="s">
        <v>142</v>
      </c>
    </row>
    <row r="22" spans="1:33" x14ac:dyDescent="0.2">
      <c r="A22" t="str">
        <f t="shared" si="0"/>
        <v>VMR1012711</v>
      </c>
      <c r="B22" t="str">
        <f>HYPERLINK("https://www.ncbi.nlm.nih.gov/nuccore/AY317105","AY317105")</f>
        <v>AY317105</v>
      </c>
      <c r="C22" t="s">
        <v>130</v>
      </c>
      <c r="D22" t="s">
        <v>131</v>
      </c>
      <c r="F22" t="s">
        <v>132</v>
      </c>
      <c r="G22" t="s">
        <v>86</v>
      </c>
      <c r="H22">
        <v>7</v>
      </c>
      <c r="I22" t="s">
        <v>148</v>
      </c>
      <c r="L22">
        <v>8654</v>
      </c>
      <c r="M22">
        <v>2</v>
      </c>
      <c r="N22" t="s">
        <v>134</v>
      </c>
      <c r="P22" t="s">
        <v>89</v>
      </c>
      <c r="R22" t="s">
        <v>90</v>
      </c>
      <c r="T22" t="s">
        <v>135</v>
      </c>
      <c r="V22" t="s">
        <v>136</v>
      </c>
      <c r="X22" t="s">
        <v>137</v>
      </c>
      <c r="Z22" t="s">
        <v>138</v>
      </c>
      <c r="AB22" t="s">
        <v>139</v>
      </c>
      <c r="AD22" t="s">
        <v>140</v>
      </c>
      <c r="AE22" t="s">
        <v>130</v>
      </c>
      <c r="AF22" t="s">
        <v>141</v>
      </c>
      <c r="AG22" t="s">
        <v>142</v>
      </c>
    </row>
    <row r="23" spans="1:33" x14ac:dyDescent="0.2">
      <c r="A23" t="str">
        <f t="shared" si="0"/>
        <v>VMR1012711</v>
      </c>
      <c r="B23" t="str">
        <f>HYPERLINK("https://www.ncbi.nlm.nih.gov/nuccore/AY317106","AY317106")</f>
        <v>AY317106</v>
      </c>
      <c r="C23" t="s">
        <v>130</v>
      </c>
      <c r="D23" t="s">
        <v>131</v>
      </c>
      <c r="F23" t="s">
        <v>132</v>
      </c>
      <c r="G23" t="s">
        <v>86</v>
      </c>
      <c r="H23">
        <v>8</v>
      </c>
      <c r="I23" t="s">
        <v>149</v>
      </c>
      <c r="L23">
        <v>8654</v>
      </c>
      <c r="M23">
        <v>2</v>
      </c>
      <c r="N23" t="s">
        <v>134</v>
      </c>
      <c r="P23" t="s">
        <v>89</v>
      </c>
      <c r="R23" t="s">
        <v>90</v>
      </c>
      <c r="T23" t="s">
        <v>135</v>
      </c>
      <c r="V23" t="s">
        <v>136</v>
      </c>
      <c r="X23" t="s">
        <v>137</v>
      </c>
      <c r="Z23" t="s">
        <v>138</v>
      </c>
      <c r="AB23" t="s">
        <v>139</v>
      </c>
      <c r="AD23" t="s">
        <v>140</v>
      </c>
      <c r="AE23" t="s">
        <v>130</v>
      </c>
      <c r="AF23" t="s">
        <v>141</v>
      </c>
      <c r="AG23" t="s">
        <v>142</v>
      </c>
    </row>
    <row r="24" spans="1:33" x14ac:dyDescent="0.2">
      <c r="A24" t="str">
        <f t="shared" si="0"/>
        <v>VMR1012711</v>
      </c>
      <c r="B24" t="str">
        <f>HYPERLINK("https://www.ncbi.nlm.nih.gov/nuccore/AY317107","AY317107")</f>
        <v>AY317107</v>
      </c>
      <c r="C24" t="s">
        <v>130</v>
      </c>
      <c r="D24" t="s">
        <v>131</v>
      </c>
      <c r="F24" t="s">
        <v>132</v>
      </c>
      <c r="G24" t="s">
        <v>86</v>
      </c>
      <c r="H24">
        <v>9</v>
      </c>
      <c r="I24" t="s">
        <v>150</v>
      </c>
      <c r="L24">
        <v>8654</v>
      </c>
      <c r="M24">
        <v>2</v>
      </c>
      <c r="N24" t="s">
        <v>134</v>
      </c>
      <c r="P24" t="s">
        <v>89</v>
      </c>
      <c r="R24" t="s">
        <v>90</v>
      </c>
      <c r="T24" t="s">
        <v>135</v>
      </c>
      <c r="V24" t="s">
        <v>136</v>
      </c>
      <c r="X24" t="s">
        <v>137</v>
      </c>
      <c r="Z24" t="s">
        <v>138</v>
      </c>
      <c r="AB24" t="s">
        <v>139</v>
      </c>
      <c r="AD24" t="s">
        <v>140</v>
      </c>
      <c r="AE24" t="s">
        <v>130</v>
      </c>
      <c r="AF24" t="s">
        <v>141</v>
      </c>
      <c r="AG24" t="s">
        <v>142</v>
      </c>
    </row>
    <row r="25" spans="1:33" x14ac:dyDescent="0.2">
      <c r="A25" t="str">
        <f t="shared" si="0"/>
        <v>VMR1012711</v>
      </c>
      <c r="B25" t="str">
        <f>HYPERLINK("https://www.ncbi.nlm.nih.gov/nuccore/AY317108","AY317108")</f>
        <v>AY317108</v>
      </c>
      <c r="C25" t="s">
        <v>130</v>
      </c>
      <c r="D25" t="s">
        <v>131</v>
      </c>
      <c r="F25" t="s">
        <v>132</v>
      </c>
      <c r="G25" t="s">
        <v>86</v>
      </c>
      <c r="H25">
        <v>10</v>
      </c>
      <c r="I25" t="s">
        <v>151</v>
      </c>
      <c r="L25">
        <v>8654</v>
      </c>
      <c r="M25">
        <v>2</v>
      </c>
      <c r="N25" t="s">
        <v>134</v>
      </c>
      <c r="P25" t="s">
        <v>89</v>
      </c>
      <c r="R25" t="s">
        <v>90</v>
      </c>
      <c r="T25" t="s">
        <v>135</v>
      </c>
      <c r="V25" t="s">
        <v>136</v>
      </c>
      <c r="X25" t="s">
        <v>137</v>
      </c>
      <c r="Z25" t="s">
        <v>138</v>
      </c>
      <c r="AB25" t="s">
        <v>139</v>
      </c>
      <c r="AD25" t="s">
        <v>140</v>
      </c>
      <c r="AE25" t="s">
        <v>130</v>
      </c>
      <c r="AF25" t="s">
        <v>141</v>
      </c>
      <c r="AG25" t="s">
        <v>142</v>
      </c>
    </row>
    <row r="26" spans="1:33" x14ac:dyDescent="0.2">
      <c r="A26" t="str">
        <f t="shared" si="0"/>
        <v>VMR1012711</v>
      </c>
      <c r="B26" t="str">
        <f>HYPERLINK("https://www.ncbi.nlm.nih.gov/nuccore/AY317109","AY317109")</f>
        <v>AY317109</v>
      </c>
      <c r="C26" t="s">
        <v>130</v>
      </c>
      <c r="D26" t="s">
        <v>131</v>
      </c>
      <c r="F26" t="s">
        <v>132</v>
      </c>
      <c r="G26" t="s">
        <v>86</v>
      </c>
      <c r="H26">
        <v>11</v>
      </c>
      <c r="I26" t="s">
        <v>152</v>
      </c>
      <c r="L26">
        <v>8654</v>
      </c>
      <c r="M26">
        <v>2</v>
      </c>
      <c r="N26" t="s">
        <v>134</v>
      </c>
      <c r="P26" t="s">
        <v>89</v>
      </c>
      <c r="R26" t="s">
        <v>90</v>
      </c>
      <c r="T26" t="s">
        <v>135</v>
      </c>
      <c r="V26" t="s">
        <v>136</v>
      </c>
      <c r="X26" t="s">
        <v>137</v>
      </c>
      <c r="Z26" t="s">
        <v>138</v>
      </c>
      <c r="AB26" t="s">
        <v>139</v>
      </c>
      <c r="AD26" t="s">
        <v>140</v>
      </c>
      <c r="AE26" t="s">
        <v>130</v>
      </c>
      <c r="AF26" t="s">
        <v>141</v>
      </c>
      <c r="AG26" t="s">
        <v>142</v>
      </c>
    </row>
    <row r="27" spans="1:33" x14ac:dyDescent="0.2">
      <c r="A27" t="str">
        <f t="shared" si="0"/>
        <v>VMR1012711</v>
      </c>
      <c r="B27" t="str">
        <f>HYPERLINK("https://www.ncbi.nlm.nih.gov/nuccore/AY317110","AY317110")</f>
        <v>AY317110</v>
      </c>
      <c r="C27" t="s">
        <v>130</v>
      </c>
      <c r="D27" t="s">
        <v>131</v>
      </c>
      <c r="F27" t="s">
        <v>132</v>
      </c>
      <c r="G27" t="s">
        <v>86</v>
      </c>
      <c r="H27">
        <v>12</v>
      </c>
      <c r="I27" t="s">
        <v>153</v>
      </c>
      <c r="L27">
        <v>8654</v>
      </c>
      <c r="M27">
        <v>2</v>
      </c>
      <c r="N27" t="s">
        <v>134</v>
      </c>
      <c r="P27" t="s">
        <v>89</v>
      </c>
      <c r="R27" t="s">
        <v>90</v>
      </c>
      <c r="T27" t="s">
        <v>135</v>
      </c>
      <c r="V27" t="s">
        <v>136</v>
      </c>
      <c r="X27" t="s">
        <v>137</v>
      </c>
      <c r="Z27" t="s">
        <v>138</v>
      </c>
      <c r="AB27" t="s">
        <v>139</v>
      </c>
      <c r="AD27" t="s">
        <v>140</v>
      </c>
      <c r="AE27" t="s">
        <v>130</v>
      </c>
      <c r="AF27" t="s">
        <v>141</v>
      </c>
      <c r="AG27" t="s">
        <v>142</v>
      </c>
    </row>
    <row r="28" spans="1:33" x14ac:dyDescent="0.2">
      <c r="A28" t="str">
        <f>HYPERLINK("https://ictv.global/id/VMR1002117","VMR1002117")</f>
        <v>VMR1002117</v>
      </c>
      <c r="B28" t="str">
        <f>HYPERLINK("https://www.ncbi.nlm.nih.gov/nuccore/AE006468","AE006468")</f>
        <v>AE006468</v>
      </c>
      <c r="C28" t="s">
        <v>154</v>
      </c>
      <c r="D28" t="s">
        <v>155</v>
      </c>
      <c r="F28" t="s">
        <v>156</v>
      </c>
      <c r="G28" t="s">
        <v>35</v>
      </c>
      <c r="H28">
        <v>1</v>
      </c>
      <c r="J28">
        <v>2844298</v>
      </c>
      <c r="K28">
        <v>2877981</v>
      </c>
      <c r="L28">
        <v>2954</v>
      </c>
      <c r="M28">
        <v>1</v>
      </c>
      <c r="N28" t="s">
        <v>157</v>
      </c>
      <c r="P28" t="s">
        <v>37</v>
      </c>
      <c r="R28" t="s">
        <v>38</v>
      </c>
      <c r="T28" t="s">
        <v>39</v>
      </c>
      <c r="V28" t="s">
        <v>40</v>
      </c>
      <c r="Z28" t="s">
        <v>158</v>
      </c>
      <c r="AB28" t="s">
        <v>159</v>
      </c>
      <c r="AD28" t="s">
        <v>160</v>
      </c>
      <c r="AE28" t="s">
        <v>161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Mims, Logan Ray</cp:lastModifiedBy>
  <dcterms:created xsi:type="dcterms:W3CDTF">2026-10-07T15:55:14Z</dcterms:created>
  <dcterms:modified xsi:type="dcterms:W3CDTF">2026-10-07T15:55:37Z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7542bc-63e5-412b-b0a0-d9586028a7d0_Enabled">
    <vt:lpwstr>true</vt:lpwstr>
  </property>
  <property fmtid="{D5CDD505-2E9C-101B-9397-08002B2CF9AE}" pid="3" name="MSIP_Label_ae7542bc-63e5-412b-b0a0-d9586028a7d0_SetDate">
    <vt:lpwstr>2026-10-07T15:55:37Z</vt:lpwstr>
  </property>
  <property fmtid="{D5CDD505-2E9C-101B-9397-08002B2CF9AE}" pid="4" name="MSIP_Label_ae7542bc-63e5-412b-b0a0-d9586028a7d0_Method">
    <vt:lpwstr>Standard</vt:lpwstr>
  </property>
  <property fmtid="{D5CDD505-2E9C-101B-9397-08002B2CF9AE}" pid="5" name="MSIP_Label_ae7542bc-63e5-412b-b0a0-d9586028a7d0_Name">
    <vt:lpwstr>Sensitive</vt:lpwstr>
  </property>
  <property fmtid="{D5CDD505-2E9C-101B-9397-08002B2CF9AE}" pid="6" name="MSIP_Label_ae7542bc-63e5-412b-b0a0-d9586028a7d0_SiteId">
    <vt:lpwstr>d8999fe4-76af-40b3-b435-1d8977abc08c</vt:lpwstr>
  </property>
  <property fmtid="{D5CDD505-2E9C-101B-9397-08002B2CF9AE}" pid="7" name="MSIP_Label_ae7542bc-63e5-412b-b0a0-d9586028a7d0_ActionId">
    <vt:lpwstr>0f0a7402-88aa-4e9f-a537-c55834dc9293</vt:lpwstr>
  </property>
  <property fmtid="{D5CDD505-2E9C-101B-9397-08002B2CF9AE}" pid="8" name="MSIP_Label_ae7542bc-63e5-412b-b0a0-d9586028a7d0_ContentBits">
    <vt:lpwstr>0</vt:lpwstr>
  </property>
  <property fmtid="{D5CDD505-2E9C-101B-9397-08002B2CF9AE}" pid="9" name="MSIP_Label_ae7542bc-63e5-412b-b0a0-d9586028a7d0_Tag">
    <vt:lpwstr>50, 3, 0, 1</vt:lpwstr>
  </property>
</Properties>
</file>