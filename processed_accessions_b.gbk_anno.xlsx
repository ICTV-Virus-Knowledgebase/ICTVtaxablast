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ogan/Git-Repos/ICTVseqsearch/"/>
    </mc:Choice>
  </mc:AlternateContent>
  <xr:revisionPtr revIDLastSave="0" documentId="13_ncr:1_{65C99FF1-1FFD-F645-A4EA-14BF30B6E6E2}" xr6:coauthVersionLast="47" xr6:coauthVersionMax="47" xr10:uidLastSave="{00000000-0000-0000-0000-000000000000}"/>
  <bookViews>
    <workbookView xWindow="51340" yWindow="3860" windowWidth="38100" windowHeight="20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<sst xmlns="http://schemas.openxmlformats.org/spreadsheetml/2006/main" count="452" uniqueCount="162">
  <si>
    <t>isolate_id</t>
  </si>
  <si>
    <t>accession_id</t>
  </si>
  <si>
    <t>ICTV_ID</t>
  </si>
  <si>
    <t>Exemplar_Additional</t>
  </si>
  <si>
    <t>Accession_Index</t>
  </si>
  <si>
    <t>Segment_Name</t>
  </si>
  <si>
    <t>Start_Loc</t>
  </si>
  <si>
    <t>End_Loc</t>
  </si>
  <si>
    <t>Sort</t>
  </si>
  <si>
    <t>Isolate_Sort</t>
  </si>
  <si>
    <t>Original_GENBANK_Accessions</t>
  </si>
  <si>
    <t>Errors</t>
  </si>
  <si>
    <t>Realm</t>
  </si>
  <si>
    <t>Subrealm</t>
  </si>
  <si>
    <t>Kingdom</t>
  </si>
  <si>
    <t>Subkingdom</t>
  </si>
  <si>
    <t>Phylum</t>
  </si>
  <si>
    <t>Subphylum</t>
  </si>
  <si>
    <t>Class</t>
  </si>
  <si>
    <t>Subclass</t>
  </si>
  <si>
    <t>Order</t>
  </si>
  <si>
    <t>Suborder</t>
  </si>
  <si>
    <t>Family</t>
  </si>
  <si>
    <t>Subfamily</t>
  </si>
  <si>
    <t>Genus</t>
  </si>
  <si>
    <t>Subgenus</t>
  </si>
  <si>
    <t>Species</t>
  </si>
  <si>
    <t>Virus_Names</t>
  </si>
  <si>
    <t>isolate_abbrev</t>
  </si>
  <si>
    <t>isolate_designation</t>
  </si>
  <si>
    <t>organism_gb</t>
  </si>
  <si>
    <t>strain_gb</t>
  </si>
  <si>
    <t>isolation_source_gb</t>
  </si>
  <si>
    <t>ICTV20115492</t>
  </si>
  <si>
    <t>E</t>
  </si>
  <si>
    <t>AY954969</t>
  </si>
  <si>
    <t>Duplodnaviria</t>
  </si>
  <si>
    <t>Heunggongvirae</t>
  </si>
  <si>
    <t>Uroviricota</t>
  </si>
  <si>
    <t>Caudoviricetes</t>
  </si>
  <si>
    <t>Herelleviridae</t>
  </si>
  <si>
    <t>Twortvirinae</t>
  </si>
  <si>
    <t>Kayvirus</t>
  </si>
  <si>
    <t>Kayvirus G1</t>
  </si>
  <si>
    <t>Staphylococcus phage G1</t>
  </si>
  <si>
    <t>ICTV202319186</t>
  </si>
  <si>
    <t>MK770119</t>
  </si>
  <si>
    <t>Demerecviridae</t>
  </si>
  <si>
    <t>Keyvirus</t>
  </si>
  <si>
    <t>Keyvirus AAS21</t>
  </si>
  <si>
    <t>Pantoea phage vB_PagS_AAS21</t>
  </si>
  <si>
    <t>Ribes Jostabeere</t>
  </si>
  <si>
    <t>ICTV202319187</t>
  </si>
  <si>
    <t>MZ616364</t>
  </si>
  <si>
    <t>Keyvirus key</t>
  </si>
  <si>
    <t>Erwinia phage Key</t>
  </si>
  <si>
    <t>Erwinia phage KEY</t>
  </si>
  <si>
    <t>fire blight affected quince and pear trees</t>
  </si>
  <si>
    <t>ICTV20042222</t>
  </si>
  <si>
    <t>HQ336222</t>
  </si>
  <si>
    <t>Varidnaviria</t>
  </si>
  <si>
    <t>Bamfordvirae</t>
  </si>
  <si>
    <t>Nucleocytoviricota</t>
  </si>
  <si>
    <t>Megaviricetes</t>
  </si>
  <si>
    <t>Imitervirales</t>
  </si>
  <si>
    <t>Mimiviridae</t>
  </si>
  <si>
    <t>Megamimivirinae</t>
  </si>
  <si>
    <t>Mimivirus</t>
  </si>
  <si>
    <t>Mimivirus bradfordmassiliense</t>
  </si>
  <si>
    <t>Acanthamoeba polyphaga mimivirus</t>
  </si>
  <si>
    <t>APMV</t>
  </si>
  <si>
    <t>ICTV202318536</t>
  </si>
  <si>
    <t>KT732816; KT732815; KT732817</t>
  </si>
  <si>
    <t>Monodnaviria</t>
  </si>
  <si>
    <t>Shotokuvirae</t>
  </si>
  <si>
    <t>Cressdnaviricota</t>
  </si>
  <si>
    <t>Arfiviricetes</t>
  </si>
  <si>
    <t>Rohanvirales</t>
  </si>
  <si>
    <t>Adamaviridae</t>
  </si>
  <si>
    <t>Zirakzivirus</t>
  </si>
  <si>
    <t>Zirakzivirus serni</t>
  </si>
  <si>
    <t>Pacific flying fox associated multicomponent virus</t>
  </si>
  <si>
    <t>Tbat_K_12099</t>
  </si>
  <si>
    <t>feces</t>
  </si>
  <si>
    <t>ICTV19990689</t>
  </si>
  <si>
    <t>A</t>
  </si>
  <si>
    <t>L</t>
  </si>
  <si>
    <t>L: HM119428; M: HM119429; S: HM119430</t>
  </si>
  <si>
    <t>Riboviria</t>
  </si>
  <si>
    <t>Orthornavirae</t>
  </si>
  <si>
    <t>Negarnaviricota</t>
  </si>
  <si>
    <t>Polyploviricotina</t>
  </si>
  <si>
    <t>Bunyaviricetes</t>
  </si>
  <si>
    <t>Hareavirales</t>
  </si>
  <si>
    <t>Phenuiviridae</t>
  </si>
  <si>
    <t>Phlebovirus</t>
  </si>
  <si>
    <t>Phlebovirus candiruense</t>
  </si>
  <si>
    <t>Serra Norte virus</t>
  </si>
  <si>
    <t>SNRV</t>
  </si>
  <si>
    <t>BeH505240</t>
  </si>
  <si>
    <t>M</t>
  </si>
  <si>
    <t>S</t>
  </si>
  <si>
    <t>ICTV202420188</t>
  </si>
  <si>
    <t>PP467602</t>
  </si>
  <si>
    <t>Adnaviria</t>
  </si>
  <si>
    <t>Zilligvirae</t>
  </si>
  <si>
    <t>Taleaviricota</t>
  </si>
  <si>
    <t>Tokiviricetes</t>
  </si>
  <si>
    <t>Ligamenvirales</t>
  </si>
  <si>
    <t>Chiyouviridae</t>
  </si>
  <si>
    <t>Wargodvirus</t>
  </si>
  <si>
    <t>Wargodvirus xiongnu</t>
  </si>
  <si>
    <t>Bathyarchaeia bifangarchaeales Chiyouvirus 1</t>
  </si>
  <si>
    <t>BbCV1</t>
  </si>
  <si>
    <t>hot spring</t>
  </si>
  <si>
    <t>ICTV20020613</t>
  </si>
  <si>
    <t>AF271059</t>
  </si>
  <si>
    <t>Naldaviricetes</t>
  </si>
  <si>
    <t>Lefavirales</t>
  </si>
  <si>
    <t>Baculoviridae</t>
  </si>
  <si>
    <t>Alphabaculovirus</t>
  </si>
  <si>
    <t>Alphabaculovirus helarmigerae</t>
  </si>
  <si>
    <t>Helicoverpa armigera nucleopolyhedrovirus</t>
  </si>
  <si>
    <t>HearNPV</t>
  </si>
  <si>
    <t>G4</t>
  </si>
  <si>
    <t>AF303045</t>
  </si>
  <si>
    <t>C1</t>
  </si>
  <si>
    <t>AP010907</t>
  </si>
  <si>
    <t>NNg1</t>
  </si>
  <si>
    <t>Helicoverpa armigera NPV NNg1</t>
  </si>
  <si>
    <t>ICTV20042009</t>
  </si>
  <si>
    <t>Seg1</t>
  </si>
  <si>
    <t>Seg1: AY317099; Seg2: AY317100; Seg3: AY317101; Seg4: AY317102; Seg5: AY317103; Seg6: AY317104; Seg7: AY317105; Seg8: AY317106; Seg9: AY317107; Seg10: AY317108; Seg11: AY317109; Seg12: AY317110</t>
  </si>
  <si>
    <t>Duplornaviricota</t>
  </si>
  <si>
    <t>Resentoviricetes</t>
  </si>
  <si>
    <t>Reovirales</t>
  </si>
  <si>
    <t>Sedoreoviridae</t>
  </si>
  <si>
    <t>Seadornavirus</t>
  </si>
  <si>
    <t>Seadornavirus liaoningense</t>
  </si>
  <si>
    <t>Liao ning virus</t>
  </si>
  <si>
    <t>LNV</t>
  </si>
  <si>
    <t>NE9731</t>
  </si>
  <si>
    <t>LNSV-NE97-31</t>
  </si>
  <si>
    <t>Seg2</t>
  </si>
  <si>
    <t>Seg3</t>
  </si>
  <si>
    <t>Seg4</t>
  </si>
  <si>
    <t>Seg5</t>
  </si>
  <si>
    <t>Seg6</t>
  </si>
  <si>
    <t>Seg7</t>
  </si>
  <si>
    <t>Seg8</t>
  </si>
  <si>
    <t>Seg9</t>
  </si>
  <si>
    <t>Seg10</t>
  </si>
  <si>
    <t>Seg11</t>
  </si>
  <si>
    <t>Seg12</t>
  </si>
  <si>
    <t>ICTV20115504</t>
  </si>
  <si>
    <t>AE006468 (2844298.2877981)</t>
  </si>
  <si>
    <t>Peduoviridae</t>
  </si>
  <si>
    <t>Felsduovirus</t>
  </si>
  <si>
    <t>Felsduovirus Fels2</t>
  </si>
  <si>
    <t>Salmonella phage Fels2</t>
  </si>
  <si>
    <t>Salmonella enterica subsp. enterica serovar Typhimurium str. LT2, Salmonella virus Fels2</t>
  </si>
  <si>
    <t>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</si>
</sst>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10.6640625" bestFit="1" customWidth="1"/>
    <col min="3" max="3" width="13.5" bestFit="1" customWidth="1"/>
    <col min="4" max="4" width="17.1640625" bestFit="1" customWidth="1"/>
    <col min="5" max="5" width="13.5" bestFit="1" customWidth="1"/>
    <col min="6" max="6" width="12.83203125" bestFit="1" customWidth="1"/>
    <col min="7" max="7" width="8.33203125" bestFit="1" customWidth="1"/>
    <col min="8" max="8" width="8.1640625" bestFit="1" customWidth="1"/>
    <col min="9" max="9" width="6.1640625" bestFit="1" customWidth="1"/>
    <col min="10" max="10" width="10.1640625" bestFit="1" customWidth="1"/>
    <col min="11" max="11" width="164.1640625" bestFit="1" customWidth="1"/>
    <col min="12" max="12" width="5.6640625" bestFit="1" customWidth="1"/>
    <col min="13" max="13" width="12" bestFit="1" customWidth="1"/>
    <col min="14" max="14" width="8.33203125" bestFit="1" customWidth="1"/>
    <col min="15" max="15" width="13.33203125" bestFit="1" customWidth="1"/>
    <col min="16" max="16" width="10.6640625" bestFit="1" customWidth="1"/>
    <col min="17" max="17" width="15.6640625" bestFit="1" customWidth="1"/>
    <col min="18" max="18" width="14.33203125" bestFit="1" customWidth="1"/>
    <col min="19" max="19" width="13.5" bestFit="1" customWidth="1"/>
    <col min="20" max="20" width="7.5" bestFit="1" customWidth="1"/>
    <col min="21" max="21" width="12.33203125" bestFit="1" customWidth="1"/>
    <col min="22" max="22" width="8.1640625" bestFit="1" customWidth="1"/>
    <col min="23" max="23" width="13" bestFit="1" customWidth="1"/>
    <col min="24" max="25" width="14.33203125" bestFit="1" customWidth="1"/>
    <col min="26" max="26" width="8.33203125" bestFit="1" customWidth="1"/>
    <col min="27" max="27" width="24.83203125" bestFit="1" customWidth="1"/>
    <col min="28" max="28" width="39.6640625" bestFit="1" customWidth="1"/>
    <col min="29" max="29" width="12.1640625" bestFit="1" customWidth="1"/>
    <col min="30" max="30" width="15.83203125" bestFit="1" customWidth="1"/>
    <col min="31" max="31" width="69.1640625" bestFit="1" customWidth="1"/>
    <col min="32" max="32" width="12" bestFit="1" customWidth="1"/>
    <col min="33" max="33" width="31.8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tr">
        <f>HYPERLINK("https://ictv.global/id/VMR1001950","VMR1001950")</f>
        <v>VMR1001950</v>
      </c>
      <c r="B2" t="str">
        <f>HYPERLINK("https://www.ncbi.nlm.nih.gov/nuccore/AY954969","AY954969")</f>
        <v>AY954969</v>
      </c>
      <c r="C2" t="s">
        <v>33</v>
      </c>
      <c r="D2" t="s">
        <v>34</v>
      </c>
      <c r="E2">
        <v>1</v>
      </c>
      <c r="I2">
        <v>2673</v>
      </c>
      <c r="J2">
        <v>1</v>
      </c>
      <c r="K2" t="s">
        <v>35</v>
      </c>
      <c r="M2" t="s">
        <v>36</v>
      </c>
      <c r="O2" t="s">
        <v>37</v>
      </c>
      <c r="Q2" t="s">
        <v>38</v>
      </c>
      <c r="S2" t="s">
        <v>39</v>
      </c>
      <c r="W2" t="s">
        <v>40</v>
      </c>
      <c r="X2" t="s">
        <v>41</v>
      </c>
      <c r="Y2" t="s">
        <v>42</v>
      </c>
      <c r="AA2" t="s">
        <v>43</v>
      </c>
      <c r="AB2" t="s">
        <v>44</v>
      </c>
      <c r="AE2" t="s">
        <v>44</v>
      </c>
    </row>
    <row r="3" spans="1:33" x14ac:dyDescent="0.2">
      <c r="A3" t="str">
        <f>HYPERLINK("https://ictv.global/id/VMR1024988","VMR1024988")</f>
        <v>VMR1024988</v>
      </c>
      <c r="B3" t="str">
        <f>HYPERLINK("https://www.ncbi.nlm.nih.gov/nuccore/MK770119","MK770119")</f>
        <v>MK770119</v>
      </c>
      <c r="C3" t="s">
        <v>45</v>
      </c>
      <c r="D3" t="s">
        <v>34</v>
      </c>
      <c r="E3">
        <v>1</v>
      </c>
      <c r="I3">
        <v>2253</v>
      </c>
      <c r="J3">
        <v>1</v>
      </c>
      <c r="K3" t="s">
        <v>46</v>
      </c>
      <c r="M3" t="s">
        <v>36</v>
      </c>
      <c r="O3" t="s">
        <v>37</v>
      </c>
      <c r="Q3" t="s">
        <v>38</v>
      </c>
      <c r="S3" t="s">
        <v>39</v>
      </c>
      <c r="W3" t="s">
        <v>47</v>
      </c>
      <c r="Y3" t="s">
        <v>48</v>
      </c>
      <c r="AA3" t="s">
        <v>49</v>
      </c>
      <c r="AB3" t="s">
        <v>50</v>
      </c>
      <c r="AE3" t="s">
        <v>50</v>
      </c>
      <c r="AG3" t="s">
        <v>51</v>
      </c>
    </row>
    <row r="4" spans="1:33" x14ac:dyDescent="0.2">
      <c r="A4" t="str">
        <f>HYPERLINK("https://ictv.global/id/VMR1024989","VMR1024989")</f>
        <v>VMR1024989</v>
      </c>
      <c r="B4" t="str">
        <f>HYPERLINK("https://www.ncbi.nlm.nih.gov/nuccore/MZ616364","MZ616364")</f>
        <v>MZ616364</v>
      </c>
      <c r="C4" t="s">
        <v>52</v>
      </c>
      <c r="D4" t="s">
        <v>34</v>
      </c>
      <c r="E4">
        <v>1</v>
      </c>
      <c r="I4">
        <v>2254</v>
      </c>
      <c r="J4">
        <v>1</v>
      </c>
      <c r="K4" t="s">
        <v>53</v>
      </c>
      <c r="M4" t="s">
        <v>36</v>
      </c>
      <c r="O4" t="s">
        <v>37</v>
      </c>
      <c r="Q4" t="s">
        <v>38</v>
      </c>
      <c r="S4" t="s">
        <v>39</v>
      </c>
      <c r="W4" t="s">
        <v>47</v>
      </c>
      <c r="Y4" t="s">
        <v>48</v>
      </c>
      <c r="AA4" t="s">
        <v>54</v>
      </c>
      <c r="AB4" t="s">
        <v>55</v>
      </c>
      <c r="AE4" t="s">
        <v>56</v>
      </c>
      <c r="AG4" t="s">
        <v>57</v>
      </c>
    </row>
    <row r="5" spans="1:33" x14ac:dyDescent="0.2">
      <c r="A5" t="str">
        <f>HYPERLINK("https://ictv.global/id/VMR1004210","VMR1004210")</f>
        <v>VMR1004210</v>
      </c>
      <c r="B5" t="str">
        <f>HYPERLINK("https://www.ncbi.nlm.nih.gov/nuccore/HQ336222","HQ336222")</f>
        <v>HQ336222</v>
      </c>
      <c r="C5" t="s">
        <v>58</v>
      </c>
      <c r="D5" t="s">
        <v>34</v>
      </c>
      <c r="E5">
        <v>1</v>
      </c>
      <c r="I5">
        <v>15476</v>
      </c>
      <c r="J5">
        <v>1</v>
      </c>
      <c r="K5" t="s">
        <v>59</v>
      </c>
      <c r="M5" t="s">
        <v>60</v>
      </c>
      <c r="O5" t="s">
        <v>61</v>
      </c>
      <c r="Q5" t="s">
        <v>62</v>
      </c>
      <c r="S5" t="s">
        <v>63</v>
      </c>
      <c r="U5" t="s">
        <v>64</v>
      </c>
      <c r="W5" t="s">
        <v>65</v>
      </c>
      <c r="X5" t="s">
        <v>66</v>
      </c>
      <c r="Y5" t="s">
        <v>67</v>
      </c>
      <c r="AA5" t="s">
        <v>68</v>
      </c>
      <c r="AB5" t="s">
        <v>69</v>
      </c>
      <c r="AC5" t="s">
        <v>70</v>
      </c>
      <c r="AE5" t="s">
        <v>69</v>
      </c>
    </row>
    <row r="6" spans="1:33" x14ac:dyDescent="0.2">
      <c r="A6" t="str">
        <f>HYPERLINK("https://ictv.global/id/VMR1027988","VMR1027988")</f>
        <v>VMR1027988</v>
      </c>
      <c r="B6" t="str">
        <f>HYPERLINK("https://www.ncbi.nlm.nih.gov/nuccore/KT732816","KT732816")</f>
        <v>KT732816</v>
      </c>
      <c r="C6" t="s">
        <v>71</v>
      </c>
      <c r="D6" t="s">
        <v>34</v>
      </c>
      <c r="E6">
        <v>1</v>
      </c>
      <c r="I6">
        <v>7395</v>
      </c>
      <c r="J6">
        <v>1</v>
      </c>
      <c r="K6" t="s">
        <v>72</v>
      </c>
      <c r="M6" t="s">
        <v>73</v>
      </c>
      <c r="O6" t="s">
        <v>74</v>
      </c>
      <c r="Q6" t="s">
        <v>75</v>
      </c>
      <c r="S6" t="s">
        <v>76</v>
      </c>
      <c r="U6" t="s">
        <v>77</v>
      </c>
      <c r="W6" t="s">
        <v>78</v>
      </c>
      <c r="Y6" t="s">
        <v>79</v>
      </c>
      <c r="AA6" t="s">
        <v>80</v>
      </c>
      <c r="AB6" t="s">
        <v>81</v>
      </c>
      <c r="AD6" t="s">
        <v>82</v>
      </c>
      <c r="AE6" t="s">
        <v>81</v>
      </c>
      <c r="AG6" t="s">
        <v>83</v>
      </c>
    </row>
    <row r="7" spans="1:33" x14ac:dyDescent="0.2">
      <c r="A7" t="str">
        <f>HYPERLINK("https://ictv.global/id/VMR1027988","VMR1027988")</f>
        <v>VMR1027988</v>
      </c>
      <c r="B7" t="str">
        <f>HYPERLINK("https://www.ncbi.nlm.nih.gov/nuccore/KT732815","KT732815")</f>
        <v>KT732815</v>
      </c>
      <c r="C7" t="s">
        <v>71</v>
      </c>
      <c r="D7" t="s">
        <v>34</v>
      </c>
      <c r="E7">
        <v>2</v>
      </c>
      <c r="I7">
        <v>7395</v>
      </c>
      <c r="J7">
        <v>1</v>
      </c>
      <c r="K7" t="s">
        <v>72</v>
      </c>
      <c r="M7" t="s">
        <v>73</v>
      </c>
      <c r="O7" t="s">
        <v>74</v>
      </c>
      <c r="Q7" t="s">
        <v>75</v>
      </c>
      <c r="S7" t="s">
        <v>76</v>
      </c>
      <c r="U7" t="s">
        <v>77</v>
      </c>
      <c r="W7" t="s">
        <v>78</v>
      </c>
      <c r="Y7" t="s">
        <v>79</v>
      </c>
      <c r="AA7" t="s">
        <v>80</v>
      </c>
      <c r="AB7" t="s">
        <v>81</v>
      </c>
      <c r="AD7" t="s">
        <v>82</v>
      </c>
      <c r="AE7" t="s">
        <v>81</v>
      </c>
      <c r="AG7" t="s">
        <v>83</v>
      </c>
    </row>
    <row r="8" spans="1:33" x14ac:dyDescent="0.2">
      <c r="A8" t="str">
        <f>HYPERLINK("https://ictv.global/id/VMR1027988","VMR1027988")</f>
        <v>VMR1027988</v>
      </c>
      <c r="B8" t="str">
        <f>HYPERLINK("https://www.ncbi.nlm.nih.gov/nuccore/KT732817","KT732817")</f>
        <v>KT732817</v>
      </c>
      <c r="C8" t="s">
        <v>71</v>
      </c>
      <c r="D8" t="s">
        <v>34</v>
      </c>
      <c r="E8">
        <v>3</v>
      </c>
      <c r="I8">
        <v>7395</v>
      </c>
      <c r="J8">
        <v>1</v>
      </c>
      <c r="K8" t="s">
        <v>72</v>
      </c>
      <c r="M8" t="s">
        <v>73</v>
      </c>
      <c r="O8" t="s">
        <v>74</v>
      </c>
      <c r="Q8" t="s">
        <v>75</v>
      </c>
      <c r="S8" t="s">
        <v>76</v>
      </c>
      <c r="U8" t="s">
        <v>77</v>
      </c>
      <c r="W8" t="s">
        <v>78</v>
      </c>
      <c r="Y8" t="s">
        <v>79</v>
      </c>
      <c r="AA8" t="s">
        <v>80</v>
      </c>
      <c r="AB8" t="s">
        <v>81</v>
      </c>
      <c r="AD8" t="s">
        <v>82</v>
      </c>
      <c r="AE8" t="s">
        <v>81</v>
      </c>
      <c r="AG8" t="s">
        <v>83</v>
      </c>
    </row>
    <row r="9" spans="1:33" x14ac:dyDescent="0.2">
      <c r="A9" t="str">
        <f>HYPERLINK("https://ictv.global/id/VMR1011336","VMR1011336")</f>
        <v>VMR1011336</v>
      </c>
      <c r="B9" t="str">
        <f>HYPERLINK("https://www.ncbi.nlm.nih.gov/nuccore/HM119428","HM119428")</f>
        <v>HM119428</v>
      </c>
      <c r="C9" t="s">
        <v>84</v>
      </c>
      <c r="D9" t="s">
        <v>85</v>
      </c>
      <c r="E9">
        <v>1</v>
      </c>
      <c r="F9" t="s">
        <v>86</v>
      </c>
      <c r="I9">
        <v>13851</v>
      </c>
      <c r="J9">
        <v>6</v>
      </c>
      <c r="K9" t="s">
        <v>87</v>
      </c>
      <c r="M9" t="s">
        <v>88</v>
      </c>
      <c r="O9" t="s">
        <v>89</v>
      </c>
      <c r="Q9" t="s">
        <v>90</v>
      </c>
      <c r="R9" t="s">
        <v>91</v>
      </c>
      <c r="S9" t="s">
        <v>92</v>
      </c>
      <c r="U9" t="s">
        <v>93</v>
      </c>
      <c r="W9" t="s">
        <v>94</v>
      </c>
      <c r="Y9" t="s">
        <v>95</v>
      </c>
      <c r="AA9" t="s">
        <v>96</v>
      </c>
      <c r="AB9" t="s">
        <v>97</v>
      </c>
      <c r="AC9" t="s">
        <v>98</v>
      </c>
      <c r="AD9" t="s">
        <v>99</v>
      </c>
      <c r="AE9" t="s">
        <v>97</v>
      </c>
    </row>
    <row r="10" spans="1:33" x14ac:dyDescent="0.2">
      <c r="A10" t="str">
        <f>HYPERLINK("https://ictv.global/id/VMR1011336","VMR1011336")</f>
        <v>VMR1011336</v>
      </c>
      <c r="B10" t="str">
        <f>HYPERLINK("https://www.ncbi.nlm.nih.gov/nuccore/HM119429","HM119429")</f>
        <v>HM119429</v>
      </c>
      <c r="C10" t="s">
        <v>84</v>
      </c>
      <c r="D10" t="s">
        <v>85</v>
      </c>
      <c r="E10">
        <v>2</v>
      </c>
      <c r="F10" t="s">
        <v>100</v>
      </c>
      <c r="I10">
        <v>13851</v>
      </c>
      <c r="J10">
        <v>6</v>
      </c>
      <c r="K10" t="s">
        <v>87</v>
      </c>
      <c r="M10" t="s">
        <v>88</v>
      </c>
      <c r="O10" t="s">
        <v>89</v>
      </c>
      <c r="Q10" t="s">
        <v>90</v>
      </c>
      <c r="R10" t="s">
        <v>91</v>
      </c>
      <c r="S10" t="s">
        <v>92</v>
      </c>
      <c r="U10" t="s">
        <v>93</v>
      </c>
      <c r="W10" t="s">
        <v>94</v>
      </c>
      <c r="Y10" t="s">
        <v>95</v>
      </c>
      <c r="AA10" t="s">
        <v>96</v>
      </c>
      <c r="AB10" t="s">
        <v>97</v>
      </c>
      <c r="AC10" t="s">
        <v>98</v>
      </c>
      <c r="AD10" t="s">
        <v>99</v>
      </c>
      <c r="AE10" t="s">
        <v>97</v>
      </c>
    </row>
    <row r="11" spans="1:33" x14ac:dyDescent="0.2">
      <c r="A11" t="str">
        <f>HYPERLINK("https://ictv.global/id/VMR1011336","VMR1011336")</f>
        <v>VMR1011336</v>
      </c>
      <c r="B11" t="str">
        <f>HYPERLINK("https://www.ncbi.nlm.nih.gov/nuccore/HM119430","HM119430")</f>
        <v>HM119430</v>
      </c>
      <c r="C11" t="s">
        <v>84</v>
      </c>
      <c r="D11" t="s">
        <v>85</v>
      </c>
      <c r="E11">
        <v>3</v>
      </c>
      <c r="F11" t="s">
        <v>101</v>
      </c>
      <c r="I11">
        <v>13851</v>
      </c>
      <c r="J11">
        <v>6</v>
      </c>
      <c r="K11" t="s">
        <v>87</v>
      </c>
      <c r="M11" t="s">
        <v>88</v>
      </c>
      <c r="O11" t="s">
        <v>89</v>
      </c>
      <c r="Q11" t="s">
        <v>90</v>
      </c>
      <c r="R11" t="s">
        <v>91</v>
      </c>
      <c r="S11" t="s">
        <v>92</v>
      </c>
      <c r="U11" t="s">
        <v>93</v>
      </c>
      <c r="W11" t="s">
        <v>94</v>
      </c>
      <c r="Y11" t="s">
        <v>95</v>
      </c>
      <c r="AA11" t="s">
        <v>96</v>
      </c>
      <c r="AB11" t="s">
        <v>97</v>
      </c>
      <c r="AC11" t="s">
        <v>98</v>
      </c>
      <c r="AD11" t="s">
        <v>99</v>
      </c>
      <c r="AE11" t="s">
        <v>97</v>
      </c>
    </row>
    <row r="12" spans="1:33" x14ac:dyDescent="0.2">
      <c r="A12" t="str">
        <f>HYPERLINK("https://ictv.global/id/VMR1028127","VMR1028127")</f>
        <v>VMR1028127</v>
      </c>
      <c r="B12" t="str">
        <f>HYPERLINK("https://www.ncbi.nlm.nih.gov/nuccore/PP467602","PP467602")</f>
        <v>PP467602</v>
      </c>
      <c r="C12" t="s">
        <v>102</v>
      </c>
      <c r="D12" t="s">
        <v>34</v>
      </c>
      <c r="E12">
        <v>1</v>
      </c>
      <c r="I12">
        <v>1</v>
      </c>
      <c r="J12">
        <v>1</v>
      </c>
      <c r="K12" t="s">
        <v>103</v>
      </c>
      <c r="M12" t="s">
        <v>104</v>
      </c>
      <c r="O12" t="s">
        <v>105</v>
      </c>
      <c r="Q12" t="s">
        <v>106</v>
      </c>
      <c r="S12" t="s">
        <v>107</v>
      </c>
      <c r="U12" t="s">
        <v>108</v>
      </c>
      <c r="W12" t="s">
        <v>109</v>
      </c>
      <c r="Y12" t="s">
        <v>110</v>
      </c>
      <c r="AA12" t="s">
        <v>111</v>
      </c>
      <c r="AB12" t="s">
        <v>112</v>
      </c>
      <c r="AC12" t="s">
        <v>113</v>
      </c>
      <c r="AE12" t="s">
        <v>111</v>
      </c>
      <c r="AG12" t="s">
        <v>114</v>
      </c>
    </row>
    <row r="13" spans="1:33" x14ac:dyDescent="0.2">
      <c r="A13" t="str">
        <f>HYPERLINK("https://ictv.global/id/VMR1004862","VMR1004862")</f>
        <v>VMR1004862</v>
      </c>
      <c r="B13" t="str">
        <f>HYPERLINK("https://www.ncbi.nlm.nih.gov/nuccore/AF271059","AF271059")</f>
        <v>AF271059</v>
      </c>
      <c r="C13" t="s">
        <v>115</v>
      </c>
      <c r="D13" t="s">
        <v>34</v>
      </c>
      <c r="E13">
        <v>1</v>
      </c>
      <c r="I13">
        <v>15762</v>
      </c>
      <c r="J13">
        <v>1</v>
      </c>
      <c r="K13" t="s">
        <v>116</v>
      </c>
      <c r="S13" t="s">
        <v>117</v>
      </c>
      <c r="U13" t="s">
        <v>118</v>
      </c>
      <c r="W13" t="s">
        <v>119</v>
      </c>
      <c r="Y13" t="s">
        <v>120</v>
      </c>
      <c r="AA13" t="s">
        <v>121</v>
      </c>
      <c r="AB13" t="s">
        <v>122</v>
      </c>
      <c r="AC13" t="s">
        <v>123</v>
      </c>
      <c r="AD13" t="s">
        <v>124</v>
      </c>
      <c r="AE13" t="s">
        <v>122</v>
      </c>
    </row>
    <row r="14" spans="1:33" x14ac:dyDescent="0.2">
      <c r="A14" t="str">
        <f>HYPERLINK("https://ictv.global/id/VMR1012174","VMR1012174")</f>
        <v>VMR1012174</v>
      </c>
      <c r="B14" t="str">
        <f>HYPERLINK("https://www.ncbi.nlm.nih.gov/nuccore/AF303045","AF303045")</f>
        <v>AF303045</v>
      </c>
      <c r="C14" t="s">
        <v>115</v>
      </c>
      <c r="D14" t="s">
        <v>85</v>
      </c>
      <c r="E14">
        <v>1</v>
      </c>
      <c r="I14">
        <v>15762</v>
      </c>
      <c r="J14">
        <v>2</v>
      </c>
      <c r="K14" t="s">
        <v>125</v>
      </c>
      <c r="S14" t="s">
        <v>117</v>
      </c>
      <c r="U14" t="s">
        <v>118</v>
      </c>
      <c r="W14" t="s">
        <v>119</v>
      </c>
      <c r="Y14" t="s">
        <v>120</v>
      </c>
      <c r="AA14" t="s">
        <v>121</v>
      </c>
      <c r="AB14" t="s">
        <v>122</v>
      </c>
      <c r="AC14" t="s">
        <v>123</v>
      </c>
      <c r="AD14" t="s">
        <v>126</v>
      </c>
      <c r="AE14" t="s">
        <v>122</v>
      </c>
    </row>
    <row r="15" spans="1:33" x14ac:dyDescent="0.2">
      <c r="A15" t="str">
        <f>HYPERLINK("https://ictv.global/id/VMR1012175","VMR1012175")</f>
        <v>VMR1012175</v>
      </c>
      <c r="B15" t="str">
        <f>HYPERLINK("https://www.ncbi.nlm.nih.gov/nuccore/AP010907","AP010907")</f>
        <v>AP010907</v>
      </c>
      <c r="C15" t="s">
        <v>115</v>
      </c>
      <c r="D15" t="s">
        <v>85</v>
      </c>
      <c r="E15">
        <v>1</v>
      </c>
      <c r="I15">
        <v>15762</v>
      </c>
      <c r="J15">
        <v>3</v>
      </c>
      <c r="K15" t="s">
        <v>127</v>
      </c>
      <c r="S15" t="s">
        <v>117</v>
      </c>
      <c r="U15" t="s">
        <v>118</v>
      </c>
      <c r="W15" t="s">
        <v>119</v>
      </c>
      <c r="Y15" t="s">
        <v>120</v>
      </c>
      <c r="AA15" t="s">
        <v>121</v>
      </c>
      <c r="AB15" t="s">
        <v>122</v>
      </c>
      <c r="AC15" t="s">
        <v>123</v>
      </c>
      <c r="AD15" t="s">
        <v>128</v>
      </c>
      <c r="AE15" t="s">
        <v>129</v>
      </c>
      <c r="AF15" t="s">
        <v>128</v>
      </c>
    </row>
    <row r="16" spans="1:33" x14ac:dyDescent="0.2">
      <c r="A16" t="str">
        <f t="shared" ref="A16:A27" si="0">HYPERLINK("https://ictv.global/id/VMR1012711","VMR1012711")</f>
        <v>VMR1012711</v>
      </c>
      <c r="B16" t="str">
        <f>HYPERLINK("https://www.ncbi.nlm.nih.gov/nuccore/AY317099","AY317099")</f>
        <v>AY317099</v>
      </c>
      <c r="C16" t="s">
        <v>130</v>
      </c>
      <c r="D16" t="s">
        <v>85</v>
      </c>
      <c r="E16">
        <v>1</v>
      </c>
      <c r="F16" t="s">
        <v>131</v>
      </c>
      <c r="I16">
        <v>8654</v>
      </c>
      <c r="J16">
        <v>2</v>
      </c>
      <c r="K16" t="s">
        <v>132</v>
      </c>
      <c r="M16" t="s">
        <v>88</v>
      </c>
      <c r="O16" t="s">
        <v>89</v>
      </c>
      <c r="Q16" t="s">
        <v>133</v>
      </c>
      <c r="S16" t="s">
        <v>134</v>
      </c>
      <c r="U16" t="s">
        <v>135</v>
      </c>
      <c r="W16" t="s">
        <v>136</v>
      </c>
      <c r="Y16" t="s">
        <v>137</v>
      </c>
      <c r="AA16" t="s">
        <v>138</v>
      </c>
      <c r="AB16" t="s">
        <v>139</v>
      </c>
      <c r="AC16" t="s">
        <v>140</v>
      </c>
      <c r="AD16" t="s">
        <v>141</v>
      </c>
      <c r="AE16" t="s">
        <v>139</v>
      </c>
      <c r="AF16" t="s">
        <v>142</v>
      </c>
    </row>
    <row r="17" spans="1:32" x14ac:dyDescent="0.2">
      <c r="A17" t="str">
        <f t="shared" si="0"/>
        <v>VMR1012711</v>
      </c>
      <c r="B17" t="str">
        <f>HYPERLINK("https://www.ncbi.nlm.nih.gov/nuccore/AY317100","AY317100")</f>
        <v>AY317100</v>
      </c>
      <c r="C17" t="s">
        <v>130</v>
      </c>
      <c r="D17" t="s">
        <v>85</v>
      </c>
      <c r="E17">
        <v>2</v>
      </c>
      <c r="F17" t="s">
        <v>143</v>
      </c>
      <c r="I17">
        <v>8654</v>
      </c>
      <c r="J17">
        <v>2</v>
      </c>
      <c r="K17" t="s">
        <v>132</v>
      </c>
      <c r="M17" t="s">
        <v>88</v>
      </c>
      <c r="O17" t="s">
        <v>89</v>
      </c>
      <c r="Q17" t="s">
        <v>133</v>
      </c>
      <c r="S17" t="s">
        <v>134</v>
      </c>
      <c r="U17" t="s">
        <v>135</v>
      </c>
      <c r="W17" t="s">
        <v>136</v>
      </c>
      <c r="Y17" t="s">
        <v>137</v>
      </c>
      <c r="AA17" t="s">
        <v>138</v>
      </c>
      <c r="AB17" t="s">
        <v>139</v>
      </c>
      <c r="AC17" t="s">
        <v>140</v>
      </c>
      <c r="AD17" t="s">
        <v>141</v>
      </c>
      <c r="AE17" t="s">
        <v>139</v>
      </c>
      <c r="AF17" t="s">
        <v>142</v>
      </c>
    </row>
    <row r="18" spans="1:32" x14ac:dyDescent="0.2">
      <c r="A18" t="str">
        <f t="shared" si="0"/>
        <v>VMR1012711</v>
      </c>
      <c r="B18" t="str">
        <f>HYPERLINK("https://www.ncbi.nlm.nih.gov/nuccore/AY317101","AY317101")</f>
        <v>AY317101</v>
      </c>
      <c r="C18" t="s">
        <v>130</v>
      </c>
      <c r="D18" t="s">
        <v>85</v>
      </c>
      <c r="E18">
        <v>3</v>
      </c>
      <c r="F18" t="s">
        <v>144</v>
      </c>
      <c r="I18">
        <v>8654</v>
      </c>
      <c r="J18">
        <v>2</v>
      </c>
      <c r="K18" t="s">
        <v>132</v>
      </c>
      <c r="M18" t="s">
        <v>88</v>
      </c>
      <c r="O18" t="s">
        <v>89</v>
      </c>
      <c r="Q18" t="s">
        <v>133</v>
      </c>
      <c r="S18" t="s">
        <v>134</v>
      </c>
      <c r="U18" t="s">
        <v>135</v>
      </c>
      <c r="W18" t="s">
        <v>136</v>
      </c>
      <c r="Y18" t="s">
        <v>137</v>
      </c>
      <c r="AA18" t="s">
        <v>138</v>
      </c>
      <c r="AB18" t="s">
        <v>139</v>
      </c>
      <c r="AC18" t="s">
        <v>140</v>
      </c>
      <c r="AD18" t="s">
        <v>141</v>
      </c>
      <c r="AE18" t="s">
        <v>139</v>
      </c>
      <c r="AF18" t="s">
        <v>142</v>
      </c>
    </row>
    <row r="19" spans="1:32" x14ac:dyDescent="0.2">
      <c r="A19" t="str">
        <f t="shared" si="0"/>
        <v>VMR1012711</v>
      </c>
      <c r="B19" t="str">
        <f>HYPERLINK("https://www.ncbi.nlm.nih.gov/nuccore/AY317102","AY317102")</f>
        <v>AY317102</v>
      </c>
      <c r="C19" t="s">
        <v>130</v>
      </c>
      <c r="D19" t="s">
        <v>85</v>
      </c>
      <c r="E19">
        <v>4</v>
      </c>
      <c r="F19" t="s">
        <v>145</v>
      </c>
      <c r="I19">
        <v>8654</v>
      </c>
      <c r="J19">
        <v>2</v>
      </c>
      <c r="K19" t="s">
        <v>132</v>
      </c>
      <c r="M19" t="s">
        <v>88</v>
      </c>
      <c r="O19" t="s">
        <v>89</v>
      </c>
      <c r="Q19" t="s">
        <v>133</v>
      </c>
      <c r="S19" t="s">
        <v>134</v>
      </c>
      <c r="U19" t="s">
        <v>135</v>
      </c>
      <c r="W19" t="s">
        <v>136</v>
      </c>
      <c r="Y19" t="s">
        <v>137</v>
      </c>
      <c r="AA19" t="s">
        <v>138</v>
      </c>
      <c r="AB19" t="s">
        <v>139</v>
      </c>
      <c r="AC19" t="s">
        <v>140</v>
      </c>
      <c r="AD19" t="s">
        <v>141</v>
      </c>
      <c r="AE19" t="s">
        <v>139</v>
      </c>
      <c r="AF19" t="s">
        <v>142</v>
      </c>
    </row>
    <row r="20" spans="1:32" x14ac:dyDescent="0.2">
      <c r="A20" t="str">
        <f t="shared" si="0"/>
        <v>VMR1012711</v>
      </c>
      <c r="B20" t="str">
        <f>HYPERLINK("https://www.ncbi.nlm.nih.gov/nuccore/AY317103","AY317103")</f>
        <v>AY317103</v>
      </c>
      <c r="C20" t="s">
        <v>130</v>
      </c>
      <c r="D20" t="s">
        <v>85</v>
      </c>
      <c r="E20">
        <v>5</v>
      </c>
      <c r="F20" t="s">
        <v>146</v>
      </c>
      <c r="I20">
        <v>8654</v>
      </c>
      <c r="J20">
        <v>2</v>
      </c>
      <c r="K20" t="s">
        <v>132</v>
      </c>
      <c r="M20" t="s">
        <v>88</v>
      </c>
      <c r="O20" t="s">
        <v>89</v>
      </c>
      <c r="Q20" t="s">
        <v>133</v>
      </c>
      <c r="S20" t="s">
        <v>134</v>
      </c>
      <c r="U20" t="s">
        <v>135</v>
      </c>
      <c r="W20" t="s">
        <v>136</v>
      </c>
      <c r="Y20" t="s">
        <v>137</v>
      </c>
      <c r="AA20" t="s">
        <v>138</v>
      </c>
      <c r="AB20" t="s">
        <v>139</v>
      </c>
      <c r="AC20" t="s">
        <v>140</v>
      </c>
      <c r="AD20" t="s">
        <v>141</v>
      </c>
      <c r="AE20" t="s">
        <v>139</v>
      </c>
      <c r="AF20" t="s">
        <v>142</v>
      </c>
    </row>
    <row r="21" spans="1:32" x14ac:dyDescent="0.2">
      <c r="A21" t="str">
        <f t="shared" si="0"/>
        <v>VMR1012711</v>
      </c>
      <c r="B21" t="str">
        <f>HYPERLINK("https://www.ncbi.nlm.nih.gov/nuccore/AY317104","AY317104")</f>
        <v>AY317104</v>
      </c>
      <c r="C21" t="s">
        <v>130</v>
      </c>
      <c r="D21" t="s">
        <v>85</v>
      </c>
      <c r="E21">
        <v>6</v>
      </c>
      <c r="F21" t="s">
        <v>147</v>
      </c>
      <c r="I21">
        <v>8654</v>
      </c>
      <c r="J21">
        <v>2</v>
      </c>
      <c r="K21" t="s">
        <v>132</v>
      </c>
      <c r="M21" t="s">
        <v>88</v>
      </c>
      <c r="O21" t="s">
        <v>89</v>
      </c>
      <c r="Q21" t="s">
        <v>133</v>
      </c>
      <c r="S21" t="s">
        <v>134</v>
      </c>
      <c r="U21" t="s">
        <v>135</v>
      </c>
      <c r="W21" t="s">
        <v>136</v>
      </c>
      <c r="Y21" t="s">
        <v>137</v>
      </c>
      <c r="AA21" t="s">
        <v>138</v>
      </c>
      <c r="AB21" t="s">
        <v>139</v>
      </c>
      <c r="AC21" t="s">
        <v>140</v>
      </c>
      <c r="AD21" t="s">
        <v>141</v>
      </c>
      <c r="AE21" t="s">
        <v>139</v>
      </c>
      <c r="AF21" t="s">
        <v>142</v>
      </c>
    </row>
    <row r="22" spans="1:32" x14ac:dyDescent="0.2">
      <c r="A22" t="str">
        <f t="shared" si="0"/>
        <v>VMR1012711</v>
      </c>
      <c r="B22" t="str">
        <f>HYPERLINK("https://www.ncbi.nlm.nih.gov/nuccore/AY317105","AY317105")</f>
        <v>AY317105</v>
      </c>
      <c r="C22" t="s">
        <v>130</v>
      </c>
      <c r="D22" t="s">
        <v>85</v>
      </c>
      <c r="E22">
        <v>7</v>
      </c>
      <c r="F22" t="s">
        <v>148</v>
      </c>
      <c r="I22">
        <v>8654</v>
      </c>
      <c r="J22">
        <v>2</v>
      </c>
      <c r="K22" t="s">
        <v>132</v>
      </c>
      <c r="M22" t="s">
        <v>88</v>
      </c>
      <c r="O22" t="s">
        <v>89</v>
      </c>
      <c r="Q22" t="s">
        <v>133</v>
      </c>
      <c r="S22" t="s">
        <v>134</v>
      </c>
      <c r="U22" t="s">
        <v>135</v>
      </c>
      <c r="W22" t="s">
        <v>136</v>
      </c>
      <c r="Y22" t="s">
        <v>137</v>
      </c>
      <c r="AA22" t="s">
        <v>138</v>
      </c>
      <c r="AB22" t="s">
        <v>139</v>
      </c>
      <c r="AC22" t="s">
        <v>140</v>
      </c>
      <c r="AD22" t="s">
        <v>141</v>
      </c>
      <c r="AE22" t="s">
        <v>139</v>
      </c>
      <c r="AF22" t="s">
        <v>142</v>
      </c>
    </row>
    <row r="23" spans="1:32" x14ac:dyDescent="0.2">
      <c r="A23" t="str">
        <f t="shared" si="0"/>
        <v>VMR1012711</v>
      </c>
      <c r="B23" t="str">
        <f>HYPERLINK("https://www.ncbi.nlm.nih.gov/nuccore/AY317106","AY317106")</f>
        <v>AY317106</v>
      </c>
      <c r="C23" t="s">
        <v>130</v>
      </c>
      <c r="D23" t="s">
        <v>85</v>
      </c>
      <c r="E23">
        <v>8</v>
      </c>
      <c r="F23" t="s">
        <v>149</v>
      </c>
      <c r="I23">
        <v>8654</v>
      </c>
      <c r="J23">
        <v>2</v>
      </c>
      <c r="K23" t="s">
        <v>132</v>
      </c>
      <c r="M23" t="s">
        <v>88</v>
      </c>
      <c r="O23" t="s">
        <v>89</v>
      </c>
      <c r="Q23" t="s">
        <v>133</v>
      </c>
      <c r="S23" t="s">
        <v>134</v>
      </c>
      <c r="U23" t="s">
        <v>135</v>
      </c>
      <c r="W23" t="s">
        <v>136</v>
      </c>
      <c r="Y23" t="s">
        <v>137</v>
      </c>
      <c r="AA23" t="s">
        <v>138</v>
      </c>
      <c r="AB23" t="s">
        <v>139</v>
      </c>
      <c r="AC23" t="s">
        <v>140</v>
      </c>
      <c r="AD23" t="s">
        <v>141</v>
      </c>
      <c r="AE23" t="s">
        <v>139</v>
      </c>
      <c r="AF23" t="s">
        <v>142</v>
      </c>
    </row>
    <row r="24" spans="1:32" x14ac:dyDescent="0.2">
      <c r="A24" t="str">
        <f t="shared" si="0"/>
        <v>VMR1012711</v>
      </c>
      <c r="B24" t="str">
        <f>HYPERLINK("https://www.ncbi.nlm.nih.gov/nuccore/AY317107","AY317107")</f>
        <v>AY317107</v>
      </c>
      <c r="C24" t="s">
        <v>130</v>
      </c>
      <c r="D24" t="s">
        <v>85</v>
      </c>
      <c r="E24">
        <v>9</v>
      </c>
      <c r="F24" t="s">
        <v>150</v>
      </c>
      <c r="I24">
        <v>8654</v>
      </c>
      <c r="J24">
        <v>2</v>
      </c>
      <c r="K24" t="s">
        <v>132</v>
      </c>
      <c r="M24" t="s">
        <v>88</v>
      </c>
      <c r="O24" t="s">
        <v>89</v>
      </c>
      <c r="Q24" t="s">
        <v>133</v>
      </c>
      <c r="S24" t="s">
        <v>134</v>
      </c>
      <c r="U24" t="s">
        <v>135</v>
      </c>
      <c r="W24" t="s">
        <v>136</v>
      </c>
      <c r="Y24" t="s">
        <v>137</v>
      </c>
      <c r="AA24" t="s">
        <v>138</v>
      </c>
      <c r="AB24" t="s">
        <v>139</v>
      </c>
      <c r="AC24" t="s">
        <v>140</v>
      </c>
      <c r="AD24" t="s">
        <v>141</v>
      </c>
      <c r="AE24" t="s">
        <v>139</v>
      </c>
      <c r="AF24" t="s">
        <v>142</v>
      </c>
    </row>
    <row r="25" spans="1:32" x14ac:dyDescent="0.2">
      <c r="A25" t="str">
        <f t="shared" si="0"/>
        <v>VMR1012711</v>
      </c>
      <c r="B25" t="str">
        <f>HYPERLINK("https://www.ncbi.nlm.nih.gov/nuccore/AY317108","AY317108")</f>
        <v>AY317108</v>
      </c>
      <c r="C25" t="s">
        <v>130</v>
      </c>
      <c r="D25" t="s">
        <v>85</v>
      </c>
      <c r="E25">
        <v>10</v>
      </c>
      <c r="F25" t="s">
        <v>151</v>
      </c>
      <c r="I25">
        <v>8654</v>
      </c>
      <c r="J25">
        <v>2</v>
      </c>
      <c r="K25" t="s">
        <v>132</v>
      </c>
      <c r="M25" t="s">
        <v>88</v>
      </c>
      <c r="O25" t="s">
        <v>89</v>
      </c>
      <c r="Q25" t="s">
        <v>133</v>
      </c>
      <c r="S25" t="s">
        <v>134</v>
      </c>
      <c r="U25" t="s">
        <v>135</v>
      </c>
      <c r="W25" t="s">
        <v>136</v>
      </c>
      <c r="Y25" t="s">
        <v>137</v>
      </c>
      <c r="AA25" t="s">
        <v>138</v>
      </c>
      <c r="AB25" t="s">
        <v>139</v>
      </c>
      <c r="AC25" t="s">
        <v>140</v>
      </c>
      <c r="AD25" t="s">
        <v>141</v>
      </c>
      <c r="AE25" t="s">
        <v>139</v>
      </c>
      <c r="AF25" t="s">
        <v>142</v>
      </c>
    </row>
    <row r="26" spans="1:32" x14ac:dyDescent="0.2">
      <c r="A26" t="str">
        <f t="shared" si="0"/>
        <v>VMR1012711</v>
      </c>
      <c r="B26" t="str">
        <f>HYPERLINK("https://www.ncbi.nlm.nih.gov/nuccore/AY317109","AY317109")</f>
        <v>AY317109</v>
      </c>
      <c r="C26" t="s">
        <v>130</v>
      </c>
      <c r="D26" t="s">
        <v>85</v>
      </c>
      <c r="E26">
        <v>11</v>
      </c>
      <c r="F26" t="s">
        <v>152</v>
      </c>
      <c r="I26">
        <v>8654</v>
      </c>
      <c r="J26">
        <v>2</v>
      </c>
      <c r="K26" t="s">
        <v>132</v>
      </c>
      <c r="M26" t="s">
        <v>88</v>
      </c>
      <c r="O26" t="s">
        <v>89</v>
      </c>
      <c r="Q26" t="s">
        <v>133</v>
      </c>
      <c r="S26" t="s">
        <v>134</v>
      </c>
      <c r="U26" t="s">
        <v>135</v>
      </c>
      <c r="W26" t="s">
        <v>136</v>
      </c>
      <c r="Y26" t="s">
        <v>137</v>
      </c>
      <c r="AA26" t="s">
        <v>138</v>
      </c>
      <c r="AB26" t="s">
        <v>139</v>
      </c>
      <c r="AC26" t="s">
        <v>140</v>
      </c>
      <c r="AD26" t="s">
        <v>141</v>
      </c>
      <c r="AE26" t="s">
        <v>139</v>
      </c>
      <c r="AF26" t="s">
        <v>142</v>
      </c>
    </row>
    <row r="27" spans="1:32" x14ac:dyDescent="0.2">
      <c r="A27" t="str">
        <f t="shared" si="0"/>
        <v>VMR1012711</v>
      </c>
      <c r="B27" t="str">
        <f>HYPERLINK("https://www.ncbi.nlm.nih.gov/nuccore/AY317110","AY317110")</f>
        <v>AY317110</v>
      </c>
      <c r="C27" t="s">
        <v>130</v>
      </c>
      <c r="D27" t="s">
        <v>85</v>
      </c>
      <c r="E27">
        <v>12</v>
      </c>
      <c r="F27" t="s">
        <v>153</v>
      </c>
      <c r="I27">
        <v>8654</v>
      </c>
      <c r="J27">
        <v>2</v>
      </c>
      <c r="K27" t="s">
        <v>132</v>
      </c>
      <c r="M27" t="s">
        <v>88</v>
      </c>
      <c r="O27" t="s">
        <v>89</v>
      </c>
      <c r="Q27" t="s">
        <v>133</v>
      </c>
      <c r="S27" t="s">
        <v>134</v>
      </c>
      <c r="U27" t="s">
        <v>135</v>
      </c>
      <c r="W27" t="s">
        <v>136</v>
      </c>
      <c r="Y27" t="s">
        <v>137</v>
      </c>
      <c r="AA27" t="s">
        <v>138</v>
      </c>
      <c r="AB27" t="s">
        <v>139</v>
      </c>
      <c r="AC27" t="s">
        <v>140</v>
      </c>
      <c r="AD27" t="s">
        <v>141</v>
      </c>
      <c r="AE27" t="s">
        <v>139</v>
      </c>
      <c r="AF27" t="s">
        <v>142</v>
      </c>
    </row>
    <row r="28" spans="1:32" x14ac:dyDescent="0.2">
      <c r="A28" t="str">
        <f>HYPERLINK("https://ictv.global/id/VMR1002117","VMR1002117")</f>
        <v>VMR1002117</v>
      </c>
      <c r="B28" t="str">
        <f>HYPERLINK("https://www.ncbi.nlm.nih.gov/nuccore/AE006468","AE006468")</f>
        <v>AE006468</v>
      </c>
      <c r="C28" t="s">
        <v>154</v>
      </c>
      <c r="D28" t="s">
        <v>34</v>
      </c>
      <c r="E28">
        <v>1</v>
      </c>
      <c r="G28">
        <v>2844298</v>
      </c>
      <c r="H28">
        <v>2877981</v>
      </c>
      <c r="I28">
        <v>2954</v>
      </c>
      <c r="J28">
        <v>1</v>
      </c>
      <c r="K28" t="s">
        <v>155</v>
      </c>
      <c r="M28" t="s">
        <v>36</v>
      </c>
      <c r="O28" t="s">
        <v>37</v>
      </c>
      <c r="Q28" t="s">
        <v>38</v>
      </c>
      <c r="S28" t="s">
        <v>39</v>
      </c>
      <c r="W28" t="s">
        <v>156</v>
      </c>
      <c r="Y28" t="s">
        <v>157</v>
      </c>
      <c r="AA28" t="s">
        <v>158</v>
      </c>
      <c r="AB28" t="s">
        <v>159</v>
      </c>
      <c r="AE28" t="s">
        <v>160</v>
      </c>
      <c r="AF28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Mims, Logan Ray</cp:lastModifiedBy>
  <dcterms:created xsi:type="dcterms:W3CDTF">2026-10-08T14:26:31Z</dcterms:created>
  <dcterms:modified xsi:type="dcterms:W3CDTF">2026-10-08T14:30:34Z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2026-10-08T14:30:34Z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1d17126b-2cb1-4444-bb4e-53975cfc1d94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